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das.online\OneDrive - Industria E Comercio De Chopeiras Ribeirao Preto Ltda\Downloads\"/>
    </mc:Choice>
  </mc:AlternateContent>
  <xr:revisionPtr revIDLastSave="0" documentId="8_{15BF6A64-37C4-430C-84D8-F95CF780081E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🏠 PAINEL" sheetId="1" r:id="rId1"/>
    <sheet name="📋 PLANO ESTRATÉGICO" sheetId="2" r:id="rId2"/>
    <sheet name="📅 TÁTICO SAZONAL" sheetId="3" r:id="rId3"/>
    <sheet name="📊 ANUAL MKTPLACES" sheetId="4" r:id="rId4"/>
    <sheet name="🛒 CANAIS" sheetId="5" r:id="rId5"/>
    <sheet name="📆 Q2 DIÁRIO" sheetId="6" r:id="rId6"/>
    <sheet name="📈 SEMANAL" sheetId="7" r:id="rId7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5" l="1"/>
  <c r="E11" i="5"/>
  <c r="E12" i="5"/>
  <c r="C14" i="5"/>
  <c r="C12" i="5"/>
  <c r="C11" i="5"/>
  <c r="D14" i="5"/>
  <c r="D12" i="5"/>
  <c r="D11" i="5"/>
  <c r="B8" i="1"/>
  <c r="L133" i="7"/>
  <c r="M133" i="7" s="1"/>
  <c r="J133" i="7"/>
  <c r="H133" i="7"/>
  <c r="G133" i="7"/>
  <c r="E133" i="7"/>
  <c r="K133" i="7" s="1"/>
  <c r="M132" i="7"/>
  <c r="I132" i="7"/>
  <c r="H132" i="7"/>
  <c r="F132" i="7"/>
  <c r="D132" i="7"/>
  <c r="M131" i="7"/>
  <c r="I131" i="7"/>
  <c r="H131" i="7"/>
  <c r="F131" i="7"/>
  <c r="D131" i="7"/>
  <c r="M130" i="7"/>
  <c r="I130" i="7"/>
  <c r="H130" i="7"/>
  <c r="F130" i="7"/>
  <c r="D130" i="7"/>
  <c r="M129" i="7"/>
  <c r="I129" i="7"/>
  <c r="H129" i="7"/>
  <c r="F129" i="7"/>
  <c r="D129" i="7"/>
  <c r="M128" i="7"/>
  <c r="I128" i="7"/>
  <c r="H128" i="7"/>
  <c r="D128" i="7"/>
  <c r="F128" i="7" s="1"/>
  <c r="M127" i="7"/>
  <c r="I127" i="7"/>
  <c r="H127" i="7"/>
  <c r="D127" i="7"/>
  <c r="F127" i="7" s="1"/>
  <c r="M126" i="7"/>
  <c r="I126" i="7"/>
  <c r="H126" i="7"/>
  <c r="D126" i="7"/>
  <c r="F126" i="7" s="1"/>
  <c r="M125" i="7"/>
  <c r="I125" i="7"/>
  <c r="H125" i="7"/>
  <c r="F125" i="7"/>
  <c r="D125" i="7"/>
  <c r="M124" i="7"/>
  <c r="I124" i="7"/>
  <c r="H124" i="7"/>
  <c r="F124" i="7"/>
  <c r="D124" i="7"/>
  <c r="M123" i="7"/>
  <c r="I123" i="7"/>
  <c r="H123" i="7"/>
  <c r="D123" i="7"/>
  <c r="F123" i="7" s="1"/>
  <c r="M122" i="7"/>
  <c r="I122" i="7"/>
  <c r="H122" i="7"/>
  <c r="D122" i="7"/>
  <c r="F122" i="7" s="1"/>
  <c r="M121" i="7"/>
  <c r="I121" i="7"/>
  <c r="H121" i="7"/>
  <c r="D121" i="7"/>
  <c r="F121" i="7" s="1"/>
  <c r="M120" i="7"/>
  <c r="I120" i="7"/>
  <c r="H120" i="7"/>
  <c r="D120" i="7"/>
  <c r="F120" i="7" s="1"/>
  <c r="L116" i="7"/>
  <c r="M116" i="7" s="1"/>
  <c r="J116" i="7"/>
  <c r="G116" i="7"/>
  <c r="H116" i="7" s="1"/>
  <c r="E116" i="7"/>
  <c r="K116" i="7" s="1"/>
  <c r="M115" i="7"/>
  <c r="I115" i="7"/>
  <c r="H115" i="7"/>
  <c r="F115" i="7"/>
  <c r="D115" i="7"/>
  <c r="M114" i="7"/>
  <c r="I114" i="7"/>
  <c r="H114" i="7"/>
  <c r="D114" i="7"/>
  <c r="F114" i="7" s="1"/>
  <c r="M113" i="7"/>
  <c r="I113" i="7"/>
  <c r="H113" i="7"/>
  <c r="D113" i="7"/>
  <c r="F113" i="7" s="1"/>
  <c r="M112" i="7"/>
  <c r="I112" i="7"/>
  <c r="H112" i="7"/>
  <c r="D112" i="7"/>
  <c r="F112" i="7" s="1"/>
  <c r="M111" i="7"/>
  <c r="I111" i="7"/>
  <c r="H111" i="7"/>
  <c r="F111" i="7"/>
  <c r="D111" i="7"/>
  <c r="M110" i="7"/>
  <c r="I110" i="7"/>
  <c r="H110" i="7"/>
  <c r="F110" i="7"/>
  <c r="D110" i="7"/>
  <c r="M109" i="7"/>
  <c r="I109" i="7"/>
  <c r="H109" i="7"/>
  <c r="D109" i="7"/>
  <c r="F109" i="7" s="1"/>
  <c r="M108" i="7"/>
  <c r="I108" i="7"/>
  <c r="H108" i="7"/>
  <c r="D108" i="7"/>
  <c r="F108" i="7" s="1"/>
  <c r="M107" i="7"/>
  <c r="I107" i="7"/>
  <c r="H107" i="7"/>
  <c r="D107" i="7"/>
  <c r="F107" i="7" s="1"/>
  <c r="M106" i="7"/>
  <c r="I106" i="7"/>
  <c r="H106" i="7"/>
  <c r="D106" i="7"/>
  <c r="F106" i="7" s="1"/>
  <c r="M105" i="7"/>
  <c r="I105" i="7"/>
  <c r="H105" i="7"/>
  <c r="F105" i="7"/>
  <c r="D105" i="7"/>
  <c r="M104" i="7"/>
  <c r="I104" i="7"/>
  <c r="H104" i="7"/>
  <c r="F104" i="7"/>
  <c r="D104" i="7"/>
  <c r="D116" i="7" s="1"/>
  <c r="L100" i="7"/>
  <c r="J100" i="7"/>
  <c r="M100" i="7" s="1"/>
  <c r="G100" i="7"/>
  <c r="E100" i="7"/>
  <c r="I100" i="7" s="1"/>
  <c r="M99" i="7"/>
  <c r="I99" i="7"/>
  <c r="H99" i="7"/>
  <c r="D99" i="7"/>
  <c r="F99" i="7" s="1"/>
  <c r="M98" i="7"/>
  <c r="I98" i="7"/>
  <c r="H98" i="7"/>
  <c r="D98" i="7"/>
  <c r="F98" i="7" s="1"/>
  <c r="M97" i="7"/>
  <c r="I97" i="7"/>
  <c r="H97" i="7"/>
  <c r="F97" i="7"/>
  <c r="D97" i="7"/>
  <c r="M96" i="7"/>
  <c r="I96" i="7"/>
  <c r="H96" i="7"/>
  <c r="F96" i="7"/>
  <c r="D96" i="7"/>
  <c r="M95" i="7"/>
  <c r="I95" i="7"/>
  <c r="H95" i="7"/>
  <c r="D95" i="7"/>
  <c r="F95" i="7" s="1"/>
  <c r="M94" i="7"/>
  <c r="I94" i="7"/>
  <c r="H94" i="7"/>
  <c r="D94" i="7"/>
  <c r="F94" i="7" s="1"/>
  <c r="M93" i="7"/>
  <c r="I93" i="7"/>
  <c r="H93" i="7"/>
  <c r="D93" i="7"/>
  <c r="F93" i="7" s="1"/>
  <c r="M92" i="7"/>
  <c r="I92" i="7"/>
  <c r="H92" i="7"/>
  <c r="D92" i="7"/>
  <c r="F92" i="7" s="1"/>
  <c r="M91" i="7"/>
  <c r="I91" i="7"/>
  <c r="H91" i="7"/>
  <c r="F91" i="7"/>
  <c r="D91" i="7"/>
  <c r="M90" i="7"/>
  <c r="I90" i="7"/>
  <c r="H90" i="7"/>
  <c r="F90" i="7"/>
  <c r="D90" i="7"/>
  <c r="M89" i="7"/>
  <c r="I89" i="7"/>
  <c r="H89" i="7"/>
  <c r="F89" i="7"/>
  <c r="D89" i="7"/>
  <c r="M88" i="7"/>
  <c r="I88" i="7"/>
  <c r="H88" i="7"/>
  <c r="D88" i="7"/>
  <c r="F88" i="7" s="1"/>
  <c r="M84" i="7"/>
  <c r="L84" i="7"/>
  <c r="J84" i="7"/>
  <c r="K84" i="7" s="1"/>
  <c r="I84" i="7"/>
  <c r="H84" i="7"/>
  <c r="G84" i="7"/>
  <c r="E84" i="7"/>
  <c r="M83" i="7"/>
  <c r="I83" i="7"/>
  <c r="H83" i="7"/>
  <c r="F83" i="7"/>
  <c r="D83" i="7"/>
  <c r="M82" i="7"/>
  <c r="I82" i="7"/>
  <c r="H82" i="7"/>
  <c r="F82" i="7"/>
  <c r="D82" i="7"/>
  <c r="M81" i="7"/>
  <c r="I81" i="7"/>
  <c r="H81" i="7"/>
  <c r="D81" i="7"/>
  <c r="F81" i="7" s="1"/>
  <c r="M80" i="7"/>
  <c r="I80" i="7"/>
  <c r="H80" i="7"/>
  <c r="D80" i="7"/>
  <c r="F80" i="7" s="1"/>
  <c r="M79" i="7"/>
  <c r="I79" i="7"/>
  <c r="H79" i="7"/>
  <c r="D79" i="7"/>
  <c r="F79" i="7" s="1"/>
  <c r="M78" i="7"/>
  <c r="I78" i="7"/>
  <c r="H78" i="7"/>
  <c r="D78" i="7"/>
  <c r="F78" i="7" s="1"/>
  <c r="M77" i="7"/>
  <c r="I77" i="7"/>
  <c r="H77" i="7"/>
  <c r="F77" i="7"/>
  <c r="D77" i="7"/>
  <c r="M76" i="7"/>
  <c r="I76" i="7"/>
  <c r="H76" i="7"/>
  <c r="F76" i="7"/>
  <c r="D76" i="7"/>
  <c r="M75" i="7"/>
  <c r="I75" i="7"/>
  <c r="H75" i="7"/>
  <c r="F75" i="7"/>
  <c r="D75" i="7"/>
  <c r="M74" i="7"/>
  <c r="I74" i="7"/>
  <c r="H74" i="7"/>
  <c r="D74" i="7"/>
  <c r="F74" i="7" s="1"/>
  <c r="M73" i="7"/>
  <c r="I73" i="7"/>
  <c r="H73" i="7"/>
  <c r="D73" i="7"/>
  <c r="F73" i="7" s="1"/>
  <c r="M72" i="7"/>
  <c r="I72" i="7"/>
  <c r="H72" i="7"/>
  <c r="D72" i="7"/>
  <c r="F72" i="7" s="1"/>
  <c r="L66" i="7"/>
  <c r="K66" i="7"/>
  <c r="J66" i="7"/>
  <c r="M66" i="7" s="1"/>
  <c r="G66" i="7"/>
  <c r="H66" i="7" s="1"/>
  <c r="E66" i="7"/>
  <c r="I66" i="7" s="1"/>
  <c r="M65" i="7"/>
  <c r="I65" i="7"/>
  <c r="H65" i="7"/>
  <c r="D65" i="7"/>
  <c r="F65" i="7" s="1"/>
  <c r="M64" i="7"/>
  <c r="I64" i="7"/>
  <c r="H64" i="7"/>
  <c r="D64" i="7"/>
  <c r="F64" i="7" s="1"/>
  <c r="M63" i="7"/>
  <c r="I63" i="7"/>
  <c r="H63" i="7"/>
  <c r="D63" i="7"/>
  <c r="F63" i="7" s="1"/>
  <c r="M62" i="7"/>
  <c r="I62" i="7"/>
  <c r="H62" i="7"/>
  <c r="D62" i="7"/>
  <c r="F62" i="7" s="1"/>
  <c r="M61" i="7"/>
  <c r="I61" i="7"/>
  <c r="H61" i="7"/>
  <c r="F61" i="7"/>
  <c r="D61" i="7"/>
  <c r="M60" i="7"/>
  <c r="I60" i="7"/>
  <c r="H60" i="7"/>
  <c r="F60" i="7"/>
  <c r="D60" i="7"/>
  <c r="M59" i="7"/>
  <c r="I59" i="7"/>
  <c r="H59" i="7"/>
  <c r="F59" i="7"/>
  <c r="D59" i="7"/>
  <c r="M58" i="7"/>
  <c r="I58" i="7"/>
  <c r="H58" i="7"/>
  <c r="D58" i="7"/>
  <c r="F58" i="7" s="1"/>
  <c r="M57" i="7"/>
  <c r="I57" i="7"/>
  <c r="H57" i="7"/>
  <c r="D57" i="7"/>
  <c r="F57" i="7" s="1"/>
  <c r="M56" i="7"/>
  <c r="I56" i="7"/>
  <c r="H56" i="7"/>
  <c r="D56" i="7"/>
  <c r="F56" i="7" s="1"/>
  <c r="M55" i="7"/>
  <c r="I55" i="7"/>
  <c r="H55" i="7"/>
  <c r="F55" i="7"/>
  <c r="D55" i="7"/>
  <c r="M54" i="7"/>
  <c r="I54" i="7"/>
  <c r="H54" i="7"/>
  <c r="F54" i="7"/>
  <c r="D54" i="7"/>
  <c r="D66" i="7" s="1"/>
  <c r="F66" i="7" s="1"/>
  <c r="L50" i="7"/>
  <c r="J50" i="7"/>
  <c r="M50" i="7" s="1"/>
  <c r="G50" i="7"/>
  <c r="E50" i="7"/>
  <c r="H50" i="7" s="1"/>
  <c r="M49" i="7"/>
  <c r="I49" i="7"/>
  <c r="H49" i="7"/>
  <c r="D49" i="7"/>
  <c r="F49" i="7" s="1"/>
  <c r="M48" i="7"/>
  <c r="I48" i="7"/>
  <c r="H48" i="7"/>
  <c r="D48" i="7"/>
  <c r="F48" i="7" s="1"/>
  <c r="M47" i="7"/>
  <c r="I47" i="7"/>
  <c r="H47" i="7"/>
  <c r="F47" i="7"/>
  <c r="D47" i="7"/>
  <c r="M46" i="7"/>
  <c r="I46" i="7"/>
  <c r="H46" i="7"/>
  <c r="F46" i="7"/>
  <c r="D46" i="7"/>
  <c r="M45" i="7"/>
  <c r="I45" i="7"/>
  <c r="H45" i="7"/>
  <c r="F45" i="7"/>
  <c r="D45" i="7"/>
  <c r="M44" i="7"/>
  <c r="I44" i="7"/>
  <c r="H44" i="7"/>
  <c r="D44" i="7"/>
  <c r="F44" i="7" s="1"/>
  <c r="M43" i="7"/>
  <c r="I43" i="7"/>
  <c r="H43" i="7"/>
  <c r="D43" i="7"/>
  <c r="F43" i="7" s="1"/>
  <c r="M42" i="7"/>
  <c r="I42" i="7"/>
  <c r="H42" i="7"/>
  <c r="D42" i="7"/>
  <c r="F42" i="7" s="1"/>
  <c r="M41" i="7"/>
  <c r="I41" i="7"/>
  <c r="H41" i="7"/>
  <c r="F41" i="7"/>
  <c r="D41" i="7"/>
  <c r="M40" i="7"/>
  <c r="I40" i="7"/>
  <c r="H40" i="7"/>
  <c r="F40" i="7"/>
  <c r="D40" i="7"/>
  <c r="M39" i="7"/>
  <c r="I39" i="7"/>
  <c r="H39" i="7"/>
  <c r="D39" i="7"/>
  <c r="F39" i="7" s="1"/>
  <c r="M38" i="7"/>
  <c r="I38" i="7"/>
  <c r="H38" i="7"/>
  <c r="D38" i="7"/>
  <c r="F38" i="7" s="1"/>
  <c r="L34" i="7"/>
  <c r="J34" i="7"/>
  <c r="M34" i="7" s="1"/>
  <c r="G34" i="7"/>
  <c r="I34" i="7" s="1"/>
  <c r="E34" i="7"/>
  <c r="K34" i="7" s="1"/>
  <c r="M33" i="7"/>
  <c r="I33" i="7"/>
  <c r="H33" i="7"/>
  <c r="F33" i="7"/>
  <c r="D33" i="7"/>
  <c r="M32" i="7"/>
  <c r="I32" i="7"/>
  <c r="H32" i="7"/>
  <c r="F32" i="7"/>
  <c r="D32" i="7"/>
  <c r="M31" i="7"/>
  <c r="I31" i="7"/>
  <c r="H31" i="7"/>
  <c r="F31" i="7"/>
  <c r="D31" i="7"/>
  <c r="M30" i="7"/>
  <c r="I30" i="7"/>
  <c r="H30" i="7"/>
  <c r="D30" i="7"/>
  <c r="F30" i="7" s="1"/>
  <c r="M29" i="7"/>
  <c r="I29" i="7"/>
  <c r="H29" i="7"/>
  <c r="D29" i="7"/>
  <c r="F29" i="7" s="1"/>
  <c r="M28" i="7"/>
  <c r="I28" i="7"/>
  <c r="H28" i="7"/>
  <c r="D28" i="7"/>
  <c r="F28" i="7" s="1"/>
  <c r="M27" i="7"/>
  <c r="I27" i="7"/>
  <c r="H27" i="7"/>
  <c r="F27" i="7"/>
  <c r="D27" i="7"/>
  <c r="M26" i="7"/>
  <c r="I26" i="7"/>
  <c r="H26" i="7"/>
  <c r="F26" i="7"/>
  <c r="D26" i="7"/>
  <c r="M25" i="7"/>
  <c r="I25" i="7"/>
  <c r="H25" i="7"/>
  <c r="D25" i="7"/>
  <c r="F25" i="7" s="1"/>
  <c r="M24" i="7"/>
  <c r="I24" i="7"/>
  <c r="H24" i="7"/>
  <c r="D24" i="7"/>
  <c r="F24" i="7" s="1"/>
  <c r="M23" i="7"/>
  <c r="I23" i="7"/>
  <c r="H23" i="7"/>
  <c r="D23" i="7"/>
  <c r="F23" i="7" s="1"/>
  <c r="M22" i="7"/>
  <c r="I22" i="7"/>
  <c r="H22" i="7"/>
  <c r="D22" i="7"/>
  <c r="F22" i="7" s="1"/>
  <c r="L18" i="7"/>
  <c r="M18" i="7" s="1"/>
  <c r="J18" i="7"/>
  <c r="G18" i="7"/>
  <c r="H18" i="7" s="1"/>
  <c r="E18" i="7"/>
  <c r="K18" i="7" s="1"/>
  <c r="M17" i="7"/>
  <c r="I17" i="7"/>
  <c r="H17" i="7"/>
  <c r="F17" i="7"/>
  <c r="D17" i="7"/>
  <c r="M16" i="7"/>
  <c r="I16" i="7"/>
  <c r="H16" i="7"/>
  <c r="D16" i="7"/>
  <c r="F16" i="7" s="1"/>
  <c r="M15" i="7"/>
  <c r="I15" i="7"/>
  <c r="H15" i="7"/>
  <c r="D15" i="7"/>
  <c r="F15" i="7" s="1"/>
  <c r="M14" i="7"/>
  <c r="I14" i="7"/>
  <c r="H14" i="7"/>
  <c r="D14" i="7"/>
  <c r="F14" i="7" s="1"/>
  <c r="M13" i="7"/>
  <c r="I13" i="7"/>
  <c r="H13" i="7"/>
  <c r="F13" i="7"/>
  <c r="D13" i="7"/>
  <c r="M12" i="7"/>
  <c r="I12" i="7"/>
  <c r="H12" i="7"/>
  <c r="F12" i="7"/>
  <c r="D12" i="7"/>
  <c r="M11" i="7"/>
  <c r="I11" i="7"/>
  <c r="H11" i="7"/>
  <c r="D11" i="7"/>
  <c r="F11" i="7" s="1"/>
  <c r="M10" i="7"/>
  <c r="I10" i="7"/>
  <c r="H10" i="7"/>
  <c r="D10" i="7"/>
  <c r="F10" i="7" s="1"/>
  <c r="M9" i="7"/>
  <c r="I9" i="7"/>
  <c r="H9" i="7"/>
  <c r="D9" i="7"/>
  <c r="F9" i="7" s="1"/>
  <c r="M8" i="7"/>
  <c r="I8" i="7"/>
  <c r="H8" i="7"/>
  <c r="D8" i="7"/>
  <c r="F8" i="7" s="1"/>
  <c r="M7" i="7"/>
  <c r="I7" i="7"/>
  <c r="H7" i="7"/>
  <c r="F7" i="7"/>
  <c r="D7" i="7"/>
  <c r="M6" i="7"/>
  <c r="I6" i="7"/>
  <c r="H6" i="7"/>
  <c r="F6" i="7"/>
  <c r="D6" i="7"/>
  <c r="D18" i="7" s="1"/>
  <c r="N104" i="6"/>
  <c r="K104" i="6"/>
  <c r="I104" i="6"/>
  <c r="G104" i="6"/>
  <c r="E104" i="6"/>
  <c r="H104" i="6" s="1"/>
  <c r="D104" i="6"/>
  <c r="C104" i="6"/>
  <c r="J104" i="6" s="1"/>
  <c r="N103" i="6"/>
  <c r="K103" i="6"/>
  <c r="J103" i="6"/>
  <c r="H103" i="6"/>
  <c r="F103" i="6"/>
  <c r="N102" i="6"/>
  <c r="K102" i="6"/>
  <c r="J102" i="6"/>
  <c r="H102" i="6"/>
  <c r="F102" i="6"/>
  <c r="N101" i="6"/>
  <c r="K101" i="6"/>
  <c r="J101" i="6"/>
  <c r="H101" i="6"/>
  <c r="F101" i="6"/>
  <c r="N100" i="6"/>
  <c r="K100" i="6"/>
  <c r="J100" i="6"/>
  <c r="H100" i="6"/>
  <c r="F100" i="6"/>
  <c r="N99" i="6"/>
  <c r="K99" i="6"/>
  <c r="J99" i="6"/>
  <c r="H99" i="6"/>
  <c r="F99" i="6"/>
  <c r="N98" i="6"/>
  <c r="K98" i="6"/>
  <c r="J98" i="6"/>
  <c r="H98" i="6"/>
  <c r="F98" i="6"/>
  <c r="N97" i="6"/>
  <c r="K97" i="6"/>
  <c r="J97" i="6"/>
  <c r="H97" i="6"/>
  <c r="F97" i="6"/>
  <c r="N96" i="6"/>
  <c r="K96" i="6"/>
  <c r="J96" i="6"/>
  <c r="H96" i="6"/>
  <c r="F96" i="6"/>
  <c r="N95" i="6"/>
  <c r="K95" i="6"/>
  <c r="J95" i="6"/>
  <c r="H95" i="6"/>
  <c r="F95" i="6"/>
  <c r="N94" i="6"/>
  <c r="K94" i="6"/>
  <c r="J94" i="6"/>
  <c r="H94" i="6"/>
  <c r="F94" i="6"/>
  <c r="N93" i="6"/>
  <c r="K93" i="6"/>
  <c r="J93" i="6"/>
  <c r="H93" i="6"/>
  <c r="F93" i="6"/>
  <c r="N92" i="6"/>
  <c r="K92" i="6"/>
  <c r="J92" i="6"/>
  <c r="H92" i="6"/>
  <c r="F92" i="6"/>
  <c r="N91" i="6"/>
  <c r="K91" i="6"/>
  <c r="J91" i="6"/>
  <c r="H91" i="6"/>
  <c r="F91" i="6"/>
  <c r="N90" i="6"/>
  <c r="K90" i="6"/>
  <c r="J90" i="6"/>
  <c r="H90" i="6"/>
  <c r="F90" i="6"/>
  <c r="N89" i="6"/>
  <c r="K89" i="6"/>
  <c r="J89" i="6"/>
  <c r="H89" i="6"/>
  <c r="F89" i="6"/>
  <c r="N88" i="6"/>
  <c r="K88" i="6"/>
  <c r="J88" i="6"/>
  <c r="H88" i="6"/>
  <c r="F88" i="6"/>
  <c r="N87" i="6"/>
  <c r="K87" i="6"/>
  <c r="J87" i="6"/>
  <c r="H87" i="6"/>
  <c r="F87" i="6"/>
  <c r="N86" i="6"/>
  <c r="K86" i="6"/>
  <c r="J86" i="6"/>
  <c r="H86" i="6"/>
  <c r="F86" i="6"/>
  <c r="N85" i="6"/>
  <c r="K85" i="6"/>
  <c r="J85" i="6"/>
  <c r="H85" i="6"/>
  <c r="F85" i="6"/>
  <c r="N84" i="6"/>
  <c r="K84" i="6"/>
  <c r="J84" i="6"/>
  <c r="H84" i="6"/>
  <c r="F84" i="6"/>
  <c r="N83" i="6"/>
  <c r="K83" i="6"/>
  <c r="J83" i="6"/>
  <c r="H83" i="6"/>
  <c r="F83" i="6"/>
  <c r="N82" i="6"/>
  <c r="K82" i="6"/>
  <c r="J82" i="6"/>
  <c r="H82" i="6"/>
  <c r="F82" i="6"/>
  <c r="N81" i="6"/>
  <c r="K81" i="6"/>
  <c r="J81" i="6"/>
  <c r="H81" i="6"/>
  <c r="F81" i="6"/>
  <c r="N80" i="6"/>
  <c r="K80" i="6"/>
  <c r="J80" i="6"/>
  <c r="H80" i="6"/>
  <c r="F80" i="6"/>
  <c r="N79" i="6"/>
  <c r="K79" i="6"/>
  <c r="J79" i="6"/>
  <c r="H79" i="6"/>
  <c r="F79" i="6"/>
  <c r="N78" i="6"/>
  <c r="K78" i="6"/>
  <c r="J78" i="6"/>
  <c r="H78" i="6"/>
  <c r="F78" i="6"/>
  <c r="N77" i="6"/>
  <c r="K77" i="6"/>
  <c r="J77" i="6"/>
  <c r="H77" i="6"/>
  <c r="F77" i="6"/>
  <c r="N76" i="6"/>
  <c r="K76" i="6"/>
  <c r="J76" i="6"/>
  <c r="H76" i="6"/>
  <c r="F76" i="6"/>
  <c r="N75" i="6"/>
  <c r="K75" i="6"/>
  <c r="J75" i="6"/>
  <c r="H75" i="6"/>
  <c r="F75" i="6"/>
  <c r="N74" i="6"/>
  <c r="K74" i="6"/>
  <c r="J74" i="6"/>
  <c r="H74" i="6"/>
  <c r="F74" i="6"/>
  <c r="N72" i="6"/>
  <c r="N70" i="6"/>
  <c r="I70" i="6"/>
  <c r="K70" i="6" s="1"/>
  <c r="G70" i="6"/>
  <c r="E70" i="6"/>
  <c r="H70" i="6" s="1"/>
  <c r="D70" i="6"/>
  <c r="C70" i="6"/>
  <c r="N69" i="6"/>
  <c r="K69" i="6"/>
  <c r="J69" i="6"/>
  <c r="H69" i="6"/>
  <c r="F69" i="6"/>
  <c r="N68" i="6"/>
  <c r="K68" i="6"/>
  <c r="J68" i="6"/>
  <c r="H68" i="6"/>
  <c r="F68" i="6"/>
  <c r="N67" i="6"/>
  <c r="K67" i="6"/>
  <c r="J67" i="6"/>
  <c r="H67" i="6"/>
  <c r="F67" i="6"/>
  <c r="N66" i="6"/>
  <c r="K66" i="6"/>
  <c r="J66" i="6"/>
  <c r="H66" i="6"/>
  <c r="F66" i="6"/>
  <c r="N65" i="6"/>
  <c r="K65" i="6"/>
  <c r="J65" i="6"/>
  <c r="H65" i="6"/>
  <c r="F65" i="6"/>
  <c r="N64" i="6"/>
  <c r="K64" i="6"/>
  <c r="J64" i="6"/>
  <c r="H64" i="6"/>
  <c r="F64" i="6"/>
  <c r="N63" i="6"/>
  <c r="K63" i="6"/>
  <c r="J63" i="6"/>
  <c r="H63" i="6"/>
  <c r="F63" i="6"/>
  <c r="N62" i="6"/>
  <c r="K62" i="6"/>
  <c r="J62" i="6"/>
  <c r="H62" i="6"/>
  <c r="F62" i="6"/>
  <c r="N61" i="6"/>
  <c r="K61" i="6"/>
  <c r="J61" i="6"/>
  <c r="H61" i="6"/>
  <c r="F61" i="6"/>
  <c r="N60" i="6"/>
  <c r="K60" i="6"/>
  <c r="J60" i="6"/>
  <c r="H60" i="6"/>
  <c r="F60" i="6"/>
  <c r="N59" i="6"/>
  <c r="K59" i="6"/>
  <c r="J59" i="6"/>
  <c r="H59" i="6"/>
  <c r="F59" i="6"/>
  <c r="N58" i="6"/>
  <c r="K58" i="6"/>
  <c r="J58" i="6"/>
  <c r="H58" i="6"/>
  <c r="F58" i="6"/>
  <c r="N57" i="6"/>
  <c r="K57" i="6"/>
  <c r="J57" i="6"/>
  <c r="H57" i="6"/>
  <c r="F57" i="6"/>
  <c r="N56" i="6"/>
  <c r="K56" i="6"/>
  <c r="J56" i="6"/>
  <c r="H56" i="6"/>
  <c r="F56" i="6"/>
  <c r="N55" i="6"/>
  <c r="K55" i="6"/>
  <c r="J55" i="6"/>
  <c r="H55" i="6"/>
  <c r="F55" i="6"/>
  <c r="N54" i="6"/>
  <c r="K54" i="6"/>
  <c r="J54" i="6"/>
  <c r="H54" i="6"/>
  <c r="F54" i="6"/>
  <c r="N53" i="6"/>
  <c r="K53" i="6"/>
  <c r="J53" i="6"/>
  <c r="H53" i="6"/>
  <c r="F53" i="6"/>
  <c r="N52" i="6"/>
  <c r="K52" i="6"/>
  <c r="J52" i="6"/>
  <c r="H52" i="6"/>
  <c r="F52" i="6"/>
  <c r="N51" i="6"/>
  <c r="K51" i="6"/>
  <c r="J51" i="6"/>
  <c r="H51" i="6"/>
  <c r="F51" i="6"/>
  <c r="N50" i="6"/>
  <c r="K50" i="6"/>
  <c r="J50" i="6"/>
  <c r="H50" i="6"/>
  <c r="F50" i="6"/>
  <c r="N49" i="6"/>
  <c r="K49" i="6"/>
  <c r="J49" i="6"/>
  <c r="H49" i="6"/>
  <c r="F49" i="6"/>
  <c r="N48" i="6"/>
  <c r="K48" i="6"/>
  <c r="J48" i="6"/>
  <c r="H48" i="6"/>
  <c r="F48" i="6"/>
  <c r="N47" i="6"/>
  <c r="K47" i="6"/>
  <c r="J47" i="6"/>
  <c r="H47" i="6"/>
  <c r="F47" i="6"/>
  <c r="N46" i="6"/>
  <c r="K46" i="6"/>
  <c r="J46" i="6"/>
  <c r="H46" i="6"/>
  <c r="F46" i="6"/>
  <c r="N45" i="6"/>
  <c r="K45" i="6"/>
  <c r="J45" i="6"/>
  <c r="H45" i="6"/>
  <c r="F45" i="6"/>
  <c r="N44" i="6"/>
  <c r="K44" i="6"/>
  <c r="J44" i="6"/>
  <c r="H44" i="6"/>
  <c r="F44" i="6"/>
  <c r="N43" i="6"/>
  <c r="K43" i="6"/>
  <c r="J43" i="6"/>
  <c r="H43" i="6"/>
  <c r="F43" i="6"/>
  <c r="N42" i="6"/>
  <c r="K42" i="6"/>
  <c r="J42" i="6"/>
  <c r="H42" i="6"/>
  <c r="F42" i="6"/>
  <c r="N41" i="6"/>
  <c r="K41" i="6"/>
  <c r="J41" i="6"/>
  <c r="H41" i="6"/>
  <c r="F41" i="6"/>
  <c r="N40" i="6"/>
  <c r="K40" i="6"/>
  <c r="J40" i="6"/>
  <c r="H40" i="6"/>
  <c r="F40" i="6"/>
  <c r="N39" i="6"/>
  <c r="K39" i="6"/>
  <c r="J39" i="6"/>
  <c r="H39" i="6"/>
  <c r="F39" i="6"/>
  <c r="N37" i="6"/>
  <c r="I35" i="6"/>
  <c r="J35" i="6" s="1"/>
  <c r="G35" i="6"/>
  <c r="H35" i="6" s="1"/>
  <c r="E35" i="6"/>
  <c r="D35" i="6"/>
  <c r="C35" i="6"/>
  <c r="F35" i="6" s="1"/>
  <c r="N34" i="6"/>
  <c r="K34" i="6"/>
  <c r="J34" i="6"/>
  <c r="H34" i="6"/>
  <c r="F34" i="6"/>
  <c r="N33" i="6"/>
  <c r="K33" i="6"/>
  <c r="J33" i="6"/>
  <c r="H33" i="6"/>
  <c r="F33" i="6"/>
  <c r="N32" i="6"/>
  <c r="K32" i="6"/>
  <c r="J32" i="6"/>
  <c r="H32" i="6"/>
  <c r="F32" i="6"/>
  <c r="N31" i="6"/>
  <c r="K31" i="6"/>
  <c r="J31" i="6"/>
  <c r="H31" i="6"/>
  <c r="F31" i="6"/>
  <c r="N30" i="6"/>
  <c r="K30" i="6"/>
  <c r="J30" i="6"/>
  <c r="H30" i="6"/>
  <c r="F30" i="6"/>
  <c r="N29" i="6"/>
  <c r="K29" i="6"/>
  <c r="J29" i="6"/>
  <c r="H29" i="6"/>
  <c r="F29" i="6"/>
  <c r="N28" i="6"/>
  <c r="K28" i="6"/>
  <c r="J28" i="6"/>
  <c r="H28" i="6"/>
  <c r="F28" i="6"/>
  <c r="N27" i="6"/>
  <c r="K27" i="6"/>
  <c r="J27" i="6"/>
  <c r="H27" i="6"/>
  <c r="F27" i="6"/>
  <c r="N26" i="6"/>
  <c r="K26" i="6"/>
  <c r="J26" i="6"/>
  <c r="H26" i="6"/>
  <c r="F26" i="6"/>
  <c r="N25" i="6"/>
  <c r="K25" i="6"/>
  <c r="J25" i="6"/>
  <c r="H25" i="6"/>
  <c r="F25" i="6"/>
  <c r="N24" i="6"/>
  <c r="K24" i="6"/>
  <c r="J24" i="6"/>
  <c r="H24" i="6"/>
  <c r="F24" i="6"/>
  <c r="N23" i="6"/>
  <c r="K23" i="6"/>
  <c r="J23" i="6"/>
  <c r="H23" i="6"/>
  <c r="F23" i="6"/>
  <c r="N22" i="6"/>
  <c r="K22" i="6"/>
  <c r="J22" i="6"/>
  <c r="H22" i="6"/>
  <c r="F22" i="6"/>
  <c r="N21" i="6"/>
  <c r="K21" i="6"/>
  <c r="J21" i="6"/>
  <c r="H21" i="6"/>
  <c r="F21" i="6"/>
  <c r="N20" i="6"/>
  <c r="K20" i="6"/>
  <c r="J20" i="6"/>
  <c r="H20" i="6"/>
  <c r="F20" i="6"/>
  <c r="N19" i="6"/>
  <c r="K19" i="6"/>
  <c r="J19" i="6"/>
  <c r="H19" i="6"/>
  <c r="F19" i="6"/>
  <c r="N18" i="6"/>
  <c r="K18" i="6"/>
  <c r="J18" i="6"/>
  <c r="H18" i="6"/>
  <c r="F18" i="6"/>
  <c r="N17" i="6"/>
  <c r="K17" i="6"/>
  <c r="J17" i="6"/>
  <c r="H17" i="6"/>
  <c r="F17" i="6"/>
  <c r="N16" i="6"/>
  <c r="K16" i="6"/>
  <c r="J16" i="6"/>
  <c r="H16" i="6"/>
  <c r="F16" i="6"/>
  <c r="N15" i="6"/>
  <c r="K15" i="6"/>
  <c r="J15" i="6"/>
  <c r="H15" i="6"/>
  <c r="F15" i="6"/>
  <c r="N14" i="6"/>
  <c r="K14" i="6"/>
  <c r="J14" i="6"/>
  <c r="H14" i="6"/>
  <c r="F14" i="6"/>
  <c r="N13" i="6"/>
  <c r="K13" i="6"/>
  <c r="J13" i="6"/>
  <c r="H13" i="6"/>
  <c r="F13" i="6"/>
  <c r="N12" i="6"/>
  <c r="K12" i="6"/>
  <c r="J12" i="6"/>
  <c r="H12" i="6"/>
  <c r="F12" i="6"/>
  <c r="N11" i="6"/>
  <c r="K11" i="6"/>
  <c r="J11" i="6"/>
  <c r="H11" i="6"/>
  <c r="F11" i="6"/>
  <c r="N10" i="6"/>
  <c r="K10" i="6"/>
  <c r="J10" i="6"/>
  <c r="H10" i="6"/>
  <c r="F10" i="6"/>
  <c r="N9" i="6"/>
  <c r="K9" i="6"/>
  <c r="J9" i="6"/>
  <c r="H9" i="6"/>
  <c r="F9" i="6"/>
  <c r="N8" i="6"/>
  <c r="K8" i="6"/>
  <c r="J8" i="6"/>
  <c r="H8" i="6"/>
  <c r="F8" i="6"/>
  <c r="N7" i="6"/>
  <c r="K7" i="6"/>
  <c r="J7" i="6"/>
  <c r="H7" i="6"/>
  <c r="F7" i="6"/>
  <c r="N6" i="6"/>
  <c r="K6" i="6"/>
  <c r="J6" i="6"/>
  <c r="H6" i="6"/>
  <c r="F6" i="6"/>
  <c r="N5" i="6"/>
  <c r="K5" i="6"/>
  <c r="J5" i="6"/>
  <c r="H5" i="6"/>
  <c r="F5" i="6"/>
  <c r="N3" i="6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N65" i="5"/>
  <c r="M64" i="5"/>
  <c r="L64" i="5"/>
  <c r="K64" i="5"/>
  <c r="J64" i="5"/>
  <c r="I64" i="5"/>
  <c r="H64" i="5"/>
  <c r="G64" i="5"/>
  <c r="F64" i="5"/>
  <c r="E64" i="5"/>
  <c r="D64" i="5"/>
  <c r="C64" i="5"/>
  <c r="B64" i="5"/>
  <c r="M63" i="5"/>
  <c r="L63" i="5"/>
  <c r="K63" i="5"/>
  <c r="J63" i="5"/>
  <c r="I63" i="5"/>
  <c r="H63" i="5"/>
  <c r="G63" i="5"/>
  <c r="F63" i="5"/>
  <c r="E63" i="5"/>
  <c r="D63" i="5"/>
  <c r="C63" i="5"/>
  <c r="B63" i="5"/>
  <c r="N62" i="5"/>
  <c r="N64" i="5" s="1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N60" i="5"/>
  <c r="N59" i="5"/>
  <c r="N58" i="5"/>
  <c r="N57" i="5"/>
  <c r="M53" i="5"/>
  <c r="L53" i="5"/>
  <c r="K53" i="5"/>
  <c r="J53" i="5"/>
  <c r="I53" i="5"/>
  <c r="H53" i="5"/>
  <c r="G53" i="5"/>
  <c r="F53" i="5"/>
  <c r="E53" i="5"/>
  <c r="D53" i="5"/>
  <c r="C53" i="5"/>
  <c r="B53" i="5"/>
  <c r="N52" i="5"/>
  <c r="N53" i="5" s="1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N49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N47" i="5"/>
  <c r="N46" i="5"/>
  <c r="N45" i="5"/>
  <c r="N44" i="5"/>
  <c r="M40" i="5"/>
  <c r="L40" i="5"/>
  <c r="K40" i="5"/>
  <c r="J40" i="5"/>
  <c r="I40" i="5"/>
  <c r="H40" i="5"/>
  <c r="G40" i="5"/>
  <c r="F40" i="5"/>
  <c r="E40" i="5"/>
  <c r="D40" i="5"/>
  <c r="C40" i="5"/>
  <c r="B40" i="5"/>
  <c r="N39" i="5"/>
  <c r="M38" i="5"/>
  <c r="L38" i="5"/>
  <c r="K38" i="5"/>
  <c r="J38" i="5"/>
  <c r="I38" i="5"/>
  <c r="H38" i="5"/>
  <c r="G38" i="5"/>
  <c r="F38" i="5"/>
  <c r="E38" i="5"/>
  <c r="D38" i="5"/>
  <c r="C38" i="5"/>
  <c r="B38" i="5"/>
  <c r="M37" i="5"/>
  <c r="L37" i="5"/>
  <c r="K37" i="5"/>
  <c r="J37" i="5"/>
  <c r="I37" i="5"/>
  <c r="H37" i="5"/>
  <c r="G37" i="5"/>
  <c r="F37" i="5"/>
  <c r="E37" i="5"/>
  <c r="D37" i="5"/>
  <c r="C37" i="5"/>
  <c r="B37" i="5"/>
  <c r="N36" i="5"/>
  <c r="N37" i="5" s="1"/>
  <c r="M35" i="5"/>
  <c r="L35" i="5"/>
  <c r="K35" i="5"/>
  <c r="J35" i="5"/>
  <c r="I35" i="5"/>
  <c r="H35" i="5"/>
  <c r="G35" i="5"/>
  <c r="F35" i="5"/>
  <c r="E35" i="5"/>
  <c r="D35" i="5"/>
  <c r="C35" i="5"/>
  <c r="B35" i="5"/>
  <c r="N34" i="5"/>
  <c r="N33" i="5"/>
  <c r="N32" i="5"/>
  <c r="N35" i="5" s="1"/>
  <c r="N31" i="5"/>
  <c r="M27" i="5"/>
  <c r="L27" i="5"/>
  <c r="K27" i="5"/>
  <c r="J27" i="5"/>
  <c r="I27" i="5"/>
  <c r="H27" i="5"/>
  <c r="G27" i="5"/>
  <c r="F27" i="5"/>
  <c r="E27" i="5"/>
  <c r="D27" i="5"/>
  <c r="C27" i="5"/>
  <c r="B27" i="5"/>
  <c r="N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N24" i="5" s="1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N20" i="5"/>
  <c r="N19" i="5"/>
  <c r="N27" i="5" s="1"/>
  <c r="N18" i="5"/>
  <c r="M14" i="5"/>
  <c r="L14" i="5"/>
  <c r="K14" i="5"/>
  <c r="J14" i="5"/>
  <c r="I14" i="5"/>
  <c r="H14" i="5"/>
  <c r="G14" i="5"/>
  <c r="F14" i="5"/>
  <c r="B14" i="5"/>
  <c r="N13" i="5"/>
  <c r="N14" i="5" s="1"/>
  <c r="M12" i="5"/>
  <c r="L12" i="5"/>
  <c r="K12" i="5"/>
  <c r="J12" i="5"/>
  <c r="I12" i="5"/>
  <c r="H12" i="5"/>
  <c r="G12" i="5"/>
  <c r="F12" i="5"/>
  <c r="B12" i="5"/>
  <c r="M11" i="5"/>
  <c r="L11" i="5"/>
  <c r="K11" i="5"/>
  <c r="J11" i="5"/>
  <c r="I11" i="5"/>
  <c r="H11" i="5"/>
  <c r="G11" i="5"/>
  <c r="F11" i="5"/>
  <c r="B11" i="5"/>
  <c r="N10" i="5"/>
  <c r="N11" i="5" s="1"/>
  <c r="M9" i="5"/>
  <c r="L9" i="5"/>
  <c r="K9" i="5"/>
  <c r="J9" i="5"/>
  <c r="I9" i="5"/>
  <c r="H9" i="5"/>
  <c r="G9" i="5"/>
  <c r="F9" i="5"/>
  <c r="E9" i="5"/>
  <c r="D9" i="5"/>
  <c r="C9" i="5"/>
  <c r="B9" i="5"/>
  <c r="N8" i="5"/>
  <c r="N7" i="5"/>
  <c r="N6" i="5"/>
  <c r="N12" i="5" s="1"/>
  <c r="N5" i="5"/>
  <c r="N70" i="4"/>
  <c r="N69" i="4"/>
  <c r="N68" i="4"/>
  <c r="N67" i="4"/>
  <c r="N66" i="4"/>
  <c r="N65" i="4"/>
  <c r="N64" i="4"/>
  <c r="N63" i="4"/>
  <c r="N62" i="4"/>
  <c r="N61" i="4"/>
  <c r="N60" i="4"/>
  <c r="N59" i="4"/>
  <c r="N56" i="4"/>
  <c r="N55" i="4"/>
  <c r="N54" i="4"/>
  <c r="N53" i="4"/>
  <c r="M50" i="4"/>
  <c r="L50" i="4"/>
  <c r="K50" i="4"/>
  <c r="J50" i="4"/>
  <c r="I50" i="4"/>
  <c r="H50" i="4"/>
  <c r="G50" i="4"/>
  <c r="F50" i="4"/>
  <c r="E50" i="4"/>
  <c r="D50" i="4"/>
  <c r="C50" i="4"/>
  <c r="B50" i="4"/>
  <c r="M49" i="4"/>
  <c r="L49" i="4"/>
  <c r="K49" i="4"/>
  <c r="J49" i="4"/>
  <c r="I49" i="4"/>
  <c r="H49" i="4"/>
  <c r="G49" i="4"/>
  <c r="F49" i="4"/>
  <c r="E49" i="4"/>
  <c r="D49" i="4"/>
  <c r="C49" i="4"/>
  <c r="B49" i="4"/>
  <c r="M48" i="4"/>
  <c r="L48" i="4"/>
  <c r="K48" i="4"/>
  <c r="J48" i="4"/>
  <c r="I48" i="4"/>
  <c r="H48" i="4"/>
  <c r="G48" i="4"/>
  <c r="F48" i="4"/>
  <c r="E48" i="4"/>
  <c r="D48" i="4"/>
  <c r="C48" i="4"/>
  <c r="B48" i="4"/>
  <c r="M47" i="4"/>
  <c r="L47" i="4"/>
  <c r="K47" i="4"/>
  <c r="J47" i="4"/>
  <c r="I47" i="4"/>
  <c r="H47" i="4"/>
  <c r="G47" i="4"/>
  <c r="F47" i="4"/>
  <c r="E47" i="4"/>
  <c r="D47" i="4"/>
  <c r="C47" i="4"/>
  <c r="B47" i="4"/>
  <c r="M46" i="4"/>
  <c r="L46" i="4"/>
  <c r="K46" i="4"/>
  <c r="J46" i="4"/>
  <c r="I46" i="4"/>
  <c r="H46" i="4"/>
  <c r="G46" i="4"/>
  <c r="F46" i="4"/>
  <c r="E46" i="4"/>
  <c r="D46" i="4"/>
  <c r="C46" i="4"/>
  <c r="B46" i="4"/>
  <c r="M44" i="4"/>
  <c r="L44" i="4"/>
  <c r="K44" i="4"/>
  <c r="J44" i="4"/>
  <c r="I44" i="4"/>
  <c r="H44" i="4"/>
  <c r="G44" i="4"/>
  <c r="F44" i="4"/>
  <c r="E44" i="4"/>
  <c r="D44" i="4"/>
  <c r="C44" i="4"/>
  <c r="B44" i="4"/>
  <c r="N44" i="4" s="1"/>
  <c r="N43" i="4"/>
  <c r="N50" i="4" s="1"/>
  <c r="N42" i="4"/>
  <c r="N49" i="4" s="1"/>
  <c r="N41" i="4"/>
  <c r="N48" i="4" s="1"/>
  <c r="N40" i="4"/>
  <c r="N47" i="4" s="1"/>
  <c r="N39" i="4"/>
  <c r="N46" i="4" s="1"/>
  <c r="M36" i="4"/>
  <c r="L36" i="4"/>
  <c r="K36" i="4"/>
  <c r="J36" i="4"/>
  <c r="I36" i="4"/>
  <c r="H36" i="4"/>
  <c r="G36" i="4"/>
  <c r="F36" i="4"/>
  <c r="E36" i="4"/>
  <c r="D36" i="4"/>
  <c r="C36" i="4"/>
  <c r="B36" i="4"/>
  <c r="N36" i="4" s="1"/>
  <c r="M35" i="4"/>
  <c r="L35" i="4"/>
  <c r="K35" i="4"/>
  <c r="J35" i="4"/>
  <c r="I35" i="4"/>
  <c r="H35" i="4"/>
  <c r="G35" i="4"/>
  <c r="F35" i="4"/>
  <c r="E35" i="4"/>
  <c r="D35" i="4"/>
  <c r="C35" i="4"/>
  <c r="B35" i="4"/>
  <c r="N35" i="4" s="1"/>
  <c r="N34" i="4"/>
  <c r="M33" i="4"/>
  <c r="L33" i="4"/>
  <c r="K33" i="4"/>
  <c r="J33" i="4"/>
  <c r="I33" i="4"/>
  <c r="H33" i="4"/>
  <c r="G33" i="4"/>
  <c r="F33" i="4"/>
  <c r="E33" i="4"/>
  <c r="D33" i="4"/>
  <c r="C33" i="4"/>
  <c r="B33" i="4"/>
  <c r="N33" i="4" s="1"/>
  <c r="N32" i="4"/>
  <c r="N31" i="4"/>
  <c r="M28" i="4"/>
  <c r="L28" i="4"/>
  <c r="K28" i="4"/>
  <c r="J28" i="4"/>
  <c r="I28" i="4"/>
  <c r="H28" i="4"/>
  <c r="G28" i="4"/>
  <c r="F28" i="4"/>
  <c r="E28" i="4"/>
  <c r="N28" i="4" s="1"/>
  <c r="D28" i="4"/>
  <c r="C28" i="4"/>
  <c r="B28" i="4"/>
  <c r="M27" i="4"/>
  <c r="L27" i="4"/>
  <c r="K27" i="4"/>
  <c r="J27" i="4"/>
  <c r="I27" i="4"/>
  <c r="H27" i="4"/>
  <c r="G27" i="4"/>
  <c r="F27" i="4"/>
  <c r="N27" i="4" s="1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N26" i="4" s="1"/>
  <c r="N25" i="4"/>
  <c r="N24" i="4"/>
  <c r="M23" i="4"/>
  <c r="L23" i="4"/>
  <c r="K23" i="4"/>
  <c r="J23" i="4"/>
  <c r="I23" i="4"/>
  <c r="H23" i="4"/>
  <c r="G23" i="4"/>
  <c r="F23" i="4"/>
  <c r="E23" i="4"/>
  <c r="D23" i="4"/>
  <c r="C23" i="4"/>
  <c r="B23" i="4"/>
  <c r="N23" i="4" s="1"/>
  <c r="M22" i="4"/>
  <c r="L22" i="4"/>
  <c r="K22" i="4"/>
  <c r="N22" i="4" s="1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N21" i="4" s="1"/>
  <c r="N20" i="4"/>
  <c r="N19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N12" i="4" s="1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N11" i="4" s="1"/>
  <c r="N10" i="4"/>
  <c r="N9" i="4"/>
  <c r="M8" i="4"/>
  <c r="M17" i="1" s="1"/>
  <c r="L8" i="4"/>
  <c r="K8" i="4"/>
  <c r="N8" i="1" s="1"/>
  <c r="J8" i="4"/>
  <c r="I8" i="4"/>
  <c r="H8" i="4"/>
  <c r="G8" i="4"/>
  <c r="G17" i="1" s="1"/>
  <c r="F8" i="4"/>
  <c r="F17" i="1" s="1"/>
  <c r="E8" i="4"/>
  <c r="E17" i="1" s="1"/>
  <c r="D8" i="4"/>
  <c r="C8" i="4"/>
  <c r="B8" i="4"/>
  <c r="N8" i="4" s="1"/>
  <c r="M7" i="4"/>
  <c r="L7" i="4"/>
  <c r="N7" i="4" s="1"/>
  <c r="Q17" i="1" s="1"/>
  <c r="K7" i="4"/>
  <c r="J7" i="4"/>
  <c r="I7" i="4"/>
  <c r="H7" i="4"/>
  <c r="G7" i="4"/>
  <c r="F7" i="4"/>
  <c r="E7" i="4"/>
  <c r="D7" i="4"/>
  <c r="C7" i="4"/>
  <c r="B7" i="4"/>
  <c r="N6" i="4"/>
  <c r="N5" i="4"/>
  <c r="Q15" i="1" s="1"/>
  <c r="M3" i="3"/>
  <c r="L3" i="3"/>
  <c r="K3" i="3"/>
  <c r="J3" i="3"/>
  <c r="I3" i="3"/>
  <c r="H3" i="3"/>
  <c r="G3" i="3"/>
  <c r="F3" i="3"/>
  <c r="E3" i="3"/>
  <c r="D3" i="3"/>
  <c r="C3" i="3"/>
  <c r="B3" i="3"/>
  <c r="M33" i="2"/>
  <c r="L33" i="2"/>
  <c r="K33" i="2"/>
  <c r="J33" i="2"/>
  <c r="I33" i="2"/>
  <c r="H33" i="2"/>
  <c r="G33" i="2"/>
  <c r="F33" i="2"/>
  <c r="E33" i="2"/>
  <c r="D33" i="2"/>
  <c r="C33" i="2"/>
  <c r="B33" i="2"/>
  <c r="M32" i="2"/>
  <c r="L32" i="2"/>
  <c r="K32" i="2"/>
  <c r="J32" i="2"/>
  <c r="I32" i="2"/>
  <c r="H32" i="2"/>
  <c r="G32" i="2"/>
  <c r="F32" i="2"/>
  <c r="E32" i="2"/>
  <c r="D32" i="2"/>
  <c r="C32" i="2"/>
  <c r="B32" i="2"/>
  <c r="M31" i="2"/>
  <c r="L31" i="2"/>
  <c r="K31" i="2"/>
  <c r="J31" i="2"/>
  <c r="I31" i="2"/>
  <c r="H31" i="2"/>
  <c r="G31" i="2"/>
  <c r="F31" i="2"/>
  <c r="E31" i="2"/>
  <c r="D31" i="2"/>
  <c r="C31" i="2"/>
  <c r="B31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M24" i="2"/>
  <c r="L24" i="2"/>
  <c r="K24" i="2"/>
  <c r="J24" i="2"/>
  <c r="I24" i="2"/>
  <c r="H24" i="2"/>
  <c r="N24" i="2" s="1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N23" i="2" s="1"/>
  <c r="M22" i="2"/>
  <c r="L22" i="2"/>
  <c r="K22" i="2"/>
  <c r="J22" i="2"/>
  <c r="I22" i="2"/>
  <c r="H22" i="2"/>
  <c r="G22" i="2"/>
  <c r="F22" i="2"/>
  <c r="E22" i="2"/>
  <c r="D22" i="2"/>
  <c r="C22" i="2"/>
  <c r="B22" i="2"/>
  <c r="N22" i="2" s="1"/>
  <c r="N21" i="2"/>
  <c r="N20" i="2"/>
  <c r="M19" i="2"/>
  <c r="L19" i="2"/>
  <c r="K19" i="2"/>
  <c r="J19" i="2"/>
  <c r="I19" i="2"/>
  <c r="H19" i="2"/>
  <c r="G19" i="2"/>
  <c r="F19" i="2"/>
  <c r="E19" i="2"/>
  <c r="D19" i="2"/>
  <c r="C19" i="2"/>
  <c r="B19" i="2"/>
  <c r="N19" i="2" s="1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M17" i="2"/>
  <c r="L17" i="2"/>
  <c r="K17" i="2"/>
  <c r="J17" i="2"/>
  <c r="I17" i="2"/>
  <c r="H17" i="2"/>
  <c r="G17" i="2"/>
  <c r="F17" i="2"/>
  <c r="E17" i="2"/>
  <c r="D17" i="2"/>
  <c r="C17" i="2"/>
  <c r="B17" i="2"/>
  <c r="N17" i="2" s="1"/>
  <c r="N16" i="2"/>
  <c r="N15" i="2"/>
  <c r="M12" i="2"/>
  <c r="L12" i="2"/>
  <c r="K12" i="2"/>
  <c r="J12" i="2"/>
  <c r="I12" i="2"/>
  <c r="H12" i="2"/>
  <c r="G12" i="2"/>
  <c r="F12" i="2"/>
  <c r="E12" i="2"/>
  <c r="D12" i="2"/>
  <c r="C12" i="2"/>
  <c r="B12" i="2"/>
  <c r="N12" i="2" s="1"/>
  <c r="M11" i="2"/>
  <c r="L11" i="2"/>
  <c r="K11" i="2"/>
  <c r="J11" i="2"/>
  <c r="I11" i="2"/>
  <c r="H11" i="2"/>
  <c r="G11" i="2"/>
  <c r="N11" i="2" s="1"/>
  <c r="F11" i="2"/>
  <c r="E11" i="2"/>
  <c r="D11" i="2"/>
  <c r="C11" i="2"/>
  <c r="B11" i="2"/>
  <c r="N10" i="2"/>
  <c r="N9" i="2"/>
  <c r="N33" i="2" s="1"/>
  <c r="M8" i="2"/>
  <c r="L8" i="2"/>
  <c r="K8" i="2"/>
  <c r="J8" i="2"/>
  <c r="I8" i="2"/>
  <c r="H8" i="2"/>
  <c r="G8" i="2"/>
  <c r="F8" i="2"/>
  <c r="E8" i="2"/>
  <c r="D8" i="2"/>
  <c r="C8" i="2"/>
  <c r="B8" i="2"/>
  <c r="N8" i="2" s="1"/>
  <c r="M7" i="2"/>
  <c r="L7" i="2"/>
  <c r="K7" i="2"/>
  <c r="J7" i="2"/>
  <c r="I7" i="2"/>
  <c r="H7" i="2"/>
  <c r="G7" i="2"/>
  <c r="F7" i="2"/>
  <c r="E7" i="2"/>
  <c r="D7" i="2"/>
  <c r="C7" i="2"/>
  <c r="B7" i="2"/>
  <c r="N7" i="2" s="1"/>
  <c r="N6" i="2"/>
  <c r="N5" i="2"/>
  <c r="D27" i="1"/>
  <c r="D26" i="1"/>
  <c r="D25" i="1"/>
  <c r="D24" i="1"/>
  <c r="D23" i="1"/>
  <c r="N18" i="1"/>
  <c r="M18" i="1"/>
  <c r="L18" i="1"/>
  <c r="K18" i="1"/>
  <c r="J18" i="1"/>
  <c r="I18" i="1"/>
  <c r="H18" i="1"/>
  <c r="G18" i="1"/>
  <c r="F18" i="1"/>
  <c r="E18" i="1"/>
  <c r="D18" i="1"/>
  <c r="C18" i="1"/>
  <c r="L17" i="1"/>
  <c r="J17" i="1"/>
  <c r="I17" i="1"/>
  <c r="H17" i="1"/>
  <c r="D17" i="1"/>
  <c r="C17" i="1"/>
  <c r="Q16" i="1"/>
  <c r="N16" i="1"/>
  <c r="M16" i="1"/>
  <c r="L16" i="1"/>
  <c r="K16" i="1"/>
  <c r="J16" i="1"/>
  <c r="I16" i="1"/>
  <c r="H16" i="1"/>
  <c r="G16" i="1"/>
  <c r="F16" i="1"/>
  <c r="E16" i="1"/>
  <c r="D16" i="1"/>
  <c r="C16" i="1"/>
  <c r="M15" i="1"/>
  <c r="L15" i="1"/>
  <c r="K15" i="1"/>
  <c r="J15" i="1"/>
  <c r="I15" i="1"/>
  <c r="H15" i="1"/>
  <c r="G15" i="1"/>
  <c r="F15" i="1"/>
  <c r="E15" i="1"/>
  <c r="D15" i="1"/>
  <c r="C15" i="1"/>
  <c r="Q14" i="1"/>
  <c r="N14" i="1"/>
  <c r="M14" i="1"/>
  <c r="L14" i="1"/>
  <c r="K14" i="1"/>
  <c r="J14" i="1"/>
  <c r="I14" i="1"/>
  <c r="H14" i="1"/>
  <c r="G14" i="1"/>
  <c r="F14" i="1"/>
  <c r="E14" i="1"/>
  <c r="D14" i="1"/>
  <c r="C14" i="1"/>
  <c r="F8" i="1"/>
  <c r="N17" i="1" l="1"/>
  <c r="Q18" i="1"/>
  <c r="I50" i="7"/>
  <c r="N30" i="2"/>
  <c r="N31" i="2"/>
  <c r="J70" i="6"/>
  <c r="F18" i="7"/>
  <c r="H34" i="7"/>
  <c r="D100" i="7"/>
  <c r="F100" i="7" s="1"/>
  <c r="F116" i="7"/>
  <c r="N32" i="2"/>
  <c r="N38" i="5"/>
  <c r="F104" i="6"/>
  <c r="K50" i="7"/>
  <c r="D133" i="7"/>
  <c r="F133" i="7" s="1"/>
  <c r="K17" i="1"/>
  <c r="N15" i="1"/>
  <c r="N9" i="5"/>
  <c r="D84" i="7"/>
  <c r="F84" i="7" s="1"/>
  <c r="N25" i="5"/>
  <c r="N40" i="5"/>
  <c r="K35" i="6"/>
  <c r="I18" i="7"/>
  <c r="I116" i="7"/>
  <c r="N35" i="6"/>
  <c r="H100" i="7"/>
  <c r="D50" i="7"/>
  <c r="I133" i="7"/>
  <c r="K100" i="7"/>
  <c r="J8" i="1"/>
  <c r="N63" i="5"/>
  <c r="F70" i="6"/>
  <c r="C106" i="6"/>
  <c r="N106" i="6" s="1"/>
  <c r="D34" i="7"/>
  <c r="F34" i="7" s="1"/>
  <c r="F50" i="7"/>
</calcChain>
</file>

<file path=xl/sharedStrings.xml><?xml version="1.0" encoding="utf-8"?>
<sst xmlns="http://schemas.openxmlformats.org/spreadsheetml/2006/main" count="852" uniqueCount="368">
  <si>
    <t>🛒  MARKETPLACE  — PAINEL EXECUTIVO</t>
  </si>
  <si>
    <t>META ANUAL
MKTPLACES</t>
  </si>
  <si>
    <t>REAL ANUAL
MKTPLACES</t>
  </si>
  <si>
    <t>ATG%
vs Meta</t>
  </si>
  <si>
    <t>ACOS
MEDIO</t>
  </si>
  <si>
    <t>📅  RECEITA MARKETPLACE POR MÊS — META × REAL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</si>
  <si>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</si>
  <si>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</si>
  <si>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</si>
  <si>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</si>
  <si>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</si>
  <si>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</si>
  <si>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</si>
  <si>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</si>
  <si>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</si>
  <si>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</si>
  <si>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</si>
  <si>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</si>
  <si>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</si>
  <si>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META (R$)</t>
  </si>
  <si>
    <t>REAL (R$)</t>
  </si>
  <si>
    <t>ATG%</t>
  </si>
  <si>
    <t>ADS (R$)</t>
  </si>
  <si>
    <t>ACOS</t>
  </si>
  <si>
    <t>🛒  CANAIS — SHARE % (defina o share de cada canal)</t>
  </si>
  <si>
    <t>Canal</t>
  </si>
  <si>
    <t>Share %</t>
  </si>
  <si>
    <t>Meta Estimada (R$)</t>
  </si>
  <si>
    <t>Mercado Livre</t>
  </si>
  <si>
    <t>Shopee</t>
  </si>
  <si>
    <t>Amazon</t>
  </si>
  <si>
    <t>Magalu</t>
  </si>
  <si>
    <t>2P / Full</t>
  </si>
  <si>
    <t>📅  MACRO-CALENDÁRIO SAZONAL</t>
  </si>
  <si>
    <t>Verão</t>
  </si>
  <si>
    <t>Verão /
Carnaval</t>
  </si>
  <si>
    <t>Mês do
Consumidor</t>
  </si>
  <si>
    <t>Páscoa</t>
  </si>
  <si>
    <t>Dia das
Mães</t>
  </si>
  <si>
    <t>Dia dos
Namorados</t>
  </si>
  <si>
    <t>Copa /
Férias</t>
  </si>
  <si>
    <t>Dia dos
Pais</t>
  </si>
  <si>
    <t>Mês do
Cliente</t>
  </si>
  <si>
    <t>Oktoberfest</t>
  </si>
  <si>
    <t>Black
Friday</t>
  </si>
  <si>
    <t>Natal</t>
  </si>
  <si>
    <t>📌  ABAS: 🏠 PAINEL  |  📋 PLANO ESTRATÉGICO  |  📅 TÁTICO SAZONAL  |  📊 ANUAL MKTPLACES  |  🛒 CANAIS  |  📆 Q2 DIÁRIO  |  📈 SEMANAL</t>
  </si>
  <si>
    <t>📋  PLANO ESTRATÉGICO — MARKETPLACE MULTI-CANAL</t>
  </si>
  <si>
    <t>MACRO
ENTREGAS</t>
  </si>
  <si>
    <t>▶  META ANUAL — RECEITA</t>
  </si>
  <si>
    <t>Receita META 2025 (R$)</t>
  </si>
  <si>
    <t>Receita REAL 2025 (R$)</t>
  </si>
  <si>
    <t>ATG% vs Meta 2025</t>
  </si>
  <si>
    <t>YOY% 2025 (coluna livre)</t>
  </si>
  <si>
    <t>Receita META 2026 (R$)</t>
  </si>
  <si>
    <t>Receita REAL 2026 (R$)</t>
  </si>
  <si>
    <t>ATG% vs Meta 2026</t>
  </si>
  <si>
    <t>YOY% 2026 vs 2025</t>
  </si>
  <si>
    <t>▶  ADS &amp; MARKETING</t>
  </si>
  <si>
    <t>Investimento ADS META 2025 (R$)</t>
  </si>
  <si>
    <t>Investimento ADS REAL 2025 (R$)</t>
  </si>
  <si>
    <t>ACOS META 2025</t>
  </si>
  <si>
    <t>ACOS REAL 2025</t>
  </si>
  <si>
    <t>ROAS REAL 2025</t>
  </si>
  <si>
    <t>Investimento ADS META 2026 (R$)</t>
  </si>
  <si>
    <t>Investimento ADS REAL 2026 (R$)</t>
  </si>
  <si>
    <t>ACOS META 2026</t>
  </si>
  <si>
    <t>ACOS REAL 2026</t>
  </si>
  <si>
    <t>ROAS REAL 2026</t>
  </si>
  <si>
    <t>▶  DISTRIBUIÇÃO POR CANAL — META 2026</t>
  </si>
  <si>
    <t>Share%</t>
  </si>
  <si>
    <t>Share % (definir)</t>
  </si>
  <si>
    <t>100%</t>
  </si>
  <si>
    <t>📅  PLANO TÁTICO SAZONAL — MARKETPLACE</t>
  </si>
  <si>
    <t>CATEGORIA</t>
  </si>
  <si>
    <t>META MKTPLACES (R$)</t>
  </si>
  <si>
    <t>Evento / Data</t>
  </si>
  <si>
    <t>04/04 - Ação 4.4 Marketplaces</t>
  </si>
  <si>
    <t>01/05 - Dia do Trabalho</t>
  </si>
  <si>
    <t>06/06 - Ação 6.6 Marketplaces</t>
  </si>
  <si>
    <t>07/07 - Ação 7.7 Marketplaces</t>
  </si>
  <si>
    <t>08/08 - Ação 8.8 Marketplaces</t>
  </si>
  <si>
    <t>09/09 - Ação 9.9 Marketplaces</t>
  </si>
  <si>
    <t>10/10 - Ação 10.10 Marketplaces</t>
  </si>
  <si>
    <t>11/11 - Ação 11.11 Marketplaces</t>
  </si>
  <si>
    <t>12/12 - Ação 12.12 Marketplaces</t>
  </si>
  <si>
    <t>05/04 - Páscoa ⭐</t>
  </si>
  <si>
    <t>05/05 - Ação 5.5 Marketplaces</t>
  </si>
  <si>
    <t>12/06 - Dia dos Namorados ⭐</t>
  </si>
  <si>
    <t>09-11/07 - Quartas de Final Copa</t>
  </si>
  <si>
    <t>09/08 - Dia dos Pais ⭐⭐</t>
  </si>
  <si>
    <t>15/09 - Dia do Cliente ⭐</t>
  </si>
  <si>
    <t>12/10 - Dia da Criança ⭐</t>
  </si>
  <si>
    <t>27/11 - Black Friday 2026 ⭐⭐⭐</t>
  </si>
  <si>
    <t>25/12 - Natal ⭐⭐</t>
  </si>
  <si>
    <t>21/04 - Tiradentes</t>
  </si>
  <si>
    <t>10/05 - Dia das Mães ⭐⭐</t>
  </si>
  <si>
    <t>11/06 - Copa: 1º jogo Brasil</t>
  </si>
  <si>
    <t>19/07 - Final Copa do Mundo ⭐</t>
  </si>
  <si>
    <t>18/08 - Dia do Estagiário</t>
  </si>
  <si>
    <t>07/09 - Independência do Brasil</t>
  </si>
  <si>
    <t>31/10 - Halloween</t>
  </si>
  <si>
    <t>30/11 - Cyber Monday</t>
  </si>
  <si>
    <t>31/12 - Réveillon</t>
  </si>
  <si>
    <t>28/04 - Dia do Frete Grátis</t>
  </si>
  <si>
    <t>MACRO-OBJETIVOS ESTRATÉGICOS POR MÊS</t>
  </si>
  <si>
    <t>Macro-Objetivos</t>
  </si>
  <si>
    <t>Páscoa
Prep. Copa
Canal de reviews</t>
  </si>
  <si>
    <t>Copa (prep.)
Nova plataforma
Novos complementos</t>
  </si>
  <si>
    <t>Copa do Mundo
Otimização ADS
Expansão portfólio</t>
  </si>
  <si>
    <t>Final Copa
Projeto arquitetos
Expansão portfólio</t>
  </si>
  <si>
    <t>Dia dos Pais ⭐
Pipeline Q4
Projeto personaliz.</t>
  </si>
  <si>
    <t>Mês do Cliente
Prep. BF
Review catálogo</t>
  </si>
  <si>
    <t>Projetos especiais
Campanha BF prep.
Review preços</t>
  </si>
  <si>
    <t>Black Friday ⭐⭐⭐
Cyber Monday
Novembro intenso</t>
  </si>
  <si>
    <t>Natal ⭐⭐
Review anual
Planej. próximo ano</t>
  </si>
  <si>
    <t>📊  ACOMPANHAMENTO ANUAL — MARKETPLACE</t>
  </si>
  <si>
    <t>📘 Azul = preencher  |  📙 Amarelo = meta  |  ⬛ Fórmulas calculam automaticamente</t>
  </si>
  <si>
    <t>MÉTRICA</t>
  </si>
  <si>
    <t>💰  RECEITA MARKETPLACE</t>
  </si>
  <si>
    <t>YOY% 2025 vs ano anterior</t>
  </si>
  <si>
    <t>Rec. META Acum. 2025</t>
  </si>
  <si>
    <t>Rec. REAL Acum. 2025</t>
  </si>
  <si>
    <t>Rec. META Acum. 2026</t>
  </si>
  <si>
    <t>Rec. REAL Acum. 2026</t>
  </si>
  <si>
    <t>📣  ADS &amp; MARKETING</t>
  </si>
  <si>
    <t>📈  VOLUME &amp; CONVERSÃO</t>
  </si>
  <si>
    <t>Visitas Projetadas</t>
  </si>
  <si>
    <t>Visitas Reais</t>
  </si>
  <si>
    <t>ATG% Visitas</t>
  </si>
  <si>
    <t># Pedidos / Transações</t>
  </si>
  <si>
    <t>Taxa de Conversão</t>
  </si>
  <si>
    <t>Ticket Médio Real (R$)</t>
  </si>
  <si>
    <t>🛒  RECEITA REAL POR CANAL (R$)</t>
  </si>
  <si>
    <t>TOTAL CANAIS (check)</t>
  </si>
  <si>
    <t xml:space="preserve">  Share % por Canal</t>
  </si>
  <si>
    <t>Share Mercado Livre</t>
  </si>
  <si>
    <t>Share Shopee</t>
  </si>
  <si>
    <t>Share Amazon</t>
  </si>
  <si>
    <t>Share Magalu</t>
  </si>
  <si>
    <t>Share 2P / Full</t>
  </si>
  <si>
    <t>🟢  ML HEALTH — DIAS POR STATUS MENSAL</t>
  </si>
  <si>
    <t>Dias Verde 🟢</t>
  </si>
  <si>
    <t>Dias Amarelo 🟡</t>
  </si>
  <si>
    <t>Dias Laranja 🟠</t>
  </si>
  <si>
    <t>Dias Vermelho 🔴</t>
  </si>
  <si>
    <t>💳  PERFIL DE PARCELAMENTO (# Transações)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</si>
  <si>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</si>
  <si>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</si>
  <si>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</si>
  <si>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</si>
  <si>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</si>
  <si>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</si>
  <si>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</si>
  <si>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</si>
  <si>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</si>
  <si>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</si>
  <si>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</si>
  <si>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</si>
  <si>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🛒  PERFORMANCE POR CANAL — DETALHE MENSAL</t>
  </si>
  <si>
    <t xml:space="preserve">  MERCADO LIVRE</t>
  </si>
  <si>
    <t>ATG% Real vs Meta</t>
  </si>
  <si>
    <t>Investimento ADS (R$)</t>
  </si>
  <si>
    <t>ACOS (%)</t>
  </si>
  <si>
    <t>ROAS</t>
  </si>
  <si>
    <t># Pedidos</t>
  </si>
  <si>
    <t>Ticket Médio (R$)</t>
  </si>
  <si>
    <t xml:space="preserve">  SHOPEE</t>
  </si>
  <si>
    <t xml:space="preserve">  AMAZON</t>
  </si>
  <si>
    <t xml:space="preserve">  MAGALU</t>
  </si>
  <si>
    <t xml:space="preserve">  2P / FULL</t>
  </si>
  <si>
    <t>📆  REPORT DIÁRIO Q2 2026 — MARKETPLACE  |  ABR · MAI · JUN</t>
  </si>
  <si>
    <t>📘 Preencha as colunas azuis diariamente · ACOS · ROAS · Conv% · Acumulado calculados automaticamente</t>
  </si>
  <si>
    <t xml:space="preserve">  ABRIL 2026   —   META MENSAL (R$):</t>
  </si>
  <si>
    <t>Data</t>
  </si>
  <si>
    <t>Dia</t>
  </si>
  <si>
    <t>Rec. Paga (R$)</t>
  </si>
  <si>
    <t>Rec. BI (R$)</t>
  </si>
  <si>
    <t>Pedidos</t>
  </si>
  <si>
    <t>Ticket Médio</t>
  </si>
  <si>
    <t>Visitas</t>
  </si>
  <si>
    <t>Conv%</t>
  </si>
  <si>
    <t>Inv. ADS (R$)</t>
  </si>
  <si>
    <t>ML Health</t>
  </si>
  <si>
    <t>Notas</t>
  </si>
  <si>
    <t>Acum. Rec.</t>
  </si>
  <si>
    <t>Qua</t>
  </si>
  <si>
    <t>Qui</t>
  </si>
  <si>
    <t>Sex</t>
  </si>
  <si>
    <t>Sáb</t>
  </si>
  <si>
    <t>Dom</t>
  </si>
  <si>
    <t>Seg</t>
  </si>
  <si>
    <t>Ter</t>
  </si>
  <si>
    <t>TOTAL ABRIL 2026</t>
  </si>
  <si>
    <t>ATG% vs Meta:</t>
  </si>
  <si>
    <t xml:space="preserve">  MAIO 2026   —   META MENSAL (R$):</t>
  </si>
  <si>
    <t>TOTAL MAIO 2026</t>
  </si>
  <si>
    <t xml:space="preserve">  JUNHO 2026   —   META MENSAL (R$):</t>
  </si>
  <si>
    <t>TOTAL JUNHO 2026</t>
  </si>
  <si>
    <t>⭐  TOTAL Q2 (ABR + MAI + JUN)</t>
  </si>
  <si>
    <t>ATG% Q2:</t>
  </si>
  <si>
    <t>📈  ACOMPANHAMENTO SEMANAL — MARKETPLACE 2025 &amp; 2026</t>
  </si>
  <si>
    <t>📘 Preencha as colunas azuis.  Meta semanal puxada do Anual (÷ 4,3 semanas)  ·  ACOS, ROAS e Conv% automáticos.</t>
  </si>
  <si>
    <t>▶  ANO 2025  —  preencha conforme dados chegam</t>
  </si>
  <si>
    <t>Q1 2025 — JAN | FEV | MAR</t>
  </si>
  <si>
    <t>Semana</t>
  </si>
  <si>
    <t>Período</t>
  </si>
  <si>
    <t>Canal Principal</t>
  </si>
  <si>
    <t>Meta Sem. (R$)</t>
  </si>
  <si>
    <t>Real (R$)</t>
  </si>
  <si>
    <t>S01</t>
  </si>
  <si>
    <t>06/01 – 12/01/25</t>
  </si>
  <si>
    <t>S02</t>
  </si>
  <si>
    <t>13/01 – 19/01/25</t>
  </si>
  <si>
    <t>S03</t>
  </si>
  <si>
    <t>20/01 – 26/01/25</t>
  </si>
  <si>
    <t>S04</t>
  </si>
  <si>
    <t>27/01 – 02/02/25</t>
  </si>
  <si>
    <t>S05</t>
  </si>
  <si>
    <t>03/02 – 09/02/25</t>
  </si>
  <si>
    <t>S06</t>
  </si>
  <si>
    <t>10/02 – 16/02/25</t>
  </si>
  <si>
    <t>S07</t>
  </si>
  <si>
    <t>17/02 – 23/02/25</t>
  </si>
  <si>
    <t>S08</t>
  </si>
  <si>
    <t>24/02 – 02/03/25</t>
  </si>
  <si>
    <t>S09</t>
  </si>
  <si>
    <t>03/03 – 09/03/25</t>
  </si>
  <si>
    <t>S10</t>
  </si>
  <si>
    <t>10/03 – 16/03/25</t>
  </si>
  <si>
    <t>S11</t>
  </si>
  <si>
    <t>17/03 – 23/03/25</t>
  </si>
  <si>
    <t>S12</t>
  </si>
  <si>
    <t>24/03 – 30/03/25</t>
  </si>
  <si>
    <t>TOTAL Q1</t>
  </si>
  <si>
    <t>Q2 2025 — ABR | MAI | JUN</t>
  </si>
  <si>
    <t>S14</t>
  </si>
  <si>
    <t>07/04 – 13/04/25</t>
  </si>
  <si>
    <t>S15</t>
  </si>
  <si>
    <t>14/04 – 20/04/25</t>
  </si>
  <si>
    <t>S16</t>
  </si>
  <si>
    <t>21/04 – 27/04/25</t>
  </si>
  <si>
    <t>S17</t>
  </si>
  <si>
    <t>28/04 – 04/05/25</t>
  </si>
  <si>
    <t>S18</t>
  </si>
  <si>
    <t>05/05 – 11/05/25</t>
  </si>
  <si>
    <t>S19</t>
  </si>
  <si>
    <t>12/05 – 18/05/25</t>
  </si>
  <si>
    <t>S20</t>
  </si>
  <si>
    <t>19/05 – 25/05/25</t>
  </si>
  <si>
    <t>S21</t>
  </si>
  <si>
    <t>26/05 – 01/06/25</t>
  </si>
  <si>
    <t>S22</t>
  </si>
  <si>
    <t>02/06 – 08/06/25</t>
  </si>
  <si>
    <t>S23</t>
  </si>
  <si>
    <t>09/06 – 15/06/25</t>
  </si>
  <si>
    <t>S24</t>
  </si>
  <si>
    <t>16/06 – 22/06/25</t>
  </si>
  <si>
    <t>S25</t>
  </si>
  <si>
    <t>23/06 – 29/06/25</t>
  </si>
  <si>
    <t>TOTAL Q2</t>
  </si>
  <si>
    <t>Q3 2025 — JUL | AGO | SET</t>
  </si>
  <si>
    <t>S27</t>
  </si>
  <si>
    <t>07/07 – 13/07/25</t>
  </si>
  <si>
    <t>S28</t>
  </si>
  <si>
    <t>14/07 – 20/07/25</t>
  </si>
  <si>
    <t>S29</t>
  </si>
  <si>
    <t>21/07 – 27/07/25</t>
  </si>
  <si>
    <t>S30</t>
  </si>
  <si>
    <t>28/07 – 03/08/25</t>
  </si>
  <si>
    <t>S31</t>
  </si>
  <si>
    <t>04/08 – 10/08/25</t>
  </si>
  <si>
    <t>S32</t>
  </si>
  <si>
    <t>11/08 – 17/08/25</t>
  </si>
  <si>
    <t>S33</t>
  </si>
  <si>
    <t>18/08 – 24/08/25</t>
  </si>
  <si>
    <t>S34</t>
  </si>
  <si>
    <t>25/08 – 31/08/25</t>
  </si>
  <si>
    <t>S35</t>
  </si>
  <si>
    <t>01/09 – 07/09/25</t>
  </si>
  <si>
    <t>S36</t>
  </si>
  <si>
    <t>08/09 – 14/09/25</t>
  </si>
  <si>
    <t>S37</t>
  </si>
  <si>
    <t>15/09 – 21/09/25</t>
  </si>
  <si>
    <t>S38</t>
  </si>
  <si>
    <t>22/09 – 28/09/25</t>
  </si>
  <si>
    <t>TOTAL Q3</t>
  </si>
  <si>
    <t>Q4 2025 — OUT | NOV | DEZ</t>
  </si>
  <si>
    <t>S40</t>
  </si>
  <si>
    <t>06/10 – 12/10/25</t>
  </si>
  <si>
    <t>S41</t>
  </si>
  <si>
    <t>13/10 – 19/10/25</t>
  </si>
  <si>
    <t>S42</t>
  </si>
  <si>
    <t>20/10 – 26/10/25</t>
  </si>
  <si>
    <t>S43</t>
  </si>
  <si>
    <t>27/10 – 02/11/25</t>
  </si>
  <si>
    <t>S44</t>
  </si>
  <si>
    <t>03/11 – 09/11/25</t>
  </si>
  <si>
    <t>S45</t>
  </si>
  <si>
    <t>10/11 – 16/11/25</t>
  </si>
  <si>
    <t>S46</t>
  </si>
  <si>
    <t>17/11 – 23/11/25</t>
  </si>
  <si>
    <t>S47</t>
  </si>
  <si>
    <t>24/11 – 30/11/25</t>
  </si>
  <si>
    <t>S48</t>
  </si>
  <si>
    <t>01/12 – 07/12/25</t>
  </si>
  <si>
    <t>S49</t>
  </si>
  <si>
    <t>08/12 – 14/12/25</t>
  </si>
  <si>
    <t>S50</t>
  </si>
  <si>
    <t>15/12 – 21/12/25</t>
  </si>
  <si>
    <t>S51</t>
  </si>
  <si>
    <t>22/12 – 28/12/25</t>
  </si>
  <si>
    <t>TOTAL Q4</t>
  </si>
  <si>
    <t>▶  ANO 2026  —  meta semanal calculada automaticamente do plano anual</t>
  </si>
  <si>
    <t>Q1 2026 — JAN | FEV | MAR</t>
  </si>
  <si>
    <t>05/01 – 11/01/26</t>
  </si>
  <si>
    <t>12/01 – 18/01/26</t>
  </si>
  <si>
    <t>19/01 – 25/01/26</t>
  </si>
  <si>
    <t>26/01 – 01/02/26</t>
  </si>
  <si>
    <t>02/02 – 08/02/26</t>
  </si>
  <si>
    <t>09/02 – 15/02/26</t>
  </si>
  <si>
    <t>16/02 – 22/02/26</t>
  </si>
  <si>
    <t>23/02 – 01/03/26</t>
  </si>
  <si>
    <t>02/03 – 08/03/26</t>
  </si>
  <si>
    <t>09/03 – 15/03/26</t>
  </si>
  <si>
    <t>16/03 – 22/03/26</t>
  </si>
  <si>
    <t>23/03 – 29/03/26</t>
  </si>
  <si>
    <t>Q2 2026 — ABR | MAI | JUN</t>
  </si>
  <si>
    <t>06/04 – 12/04/26</t>
  </si>
  <si>
    <t>13/04 – 19/04/26</t>
  </si>
  <si>
    <t>20/04 – 26/04/26</t>
  </si>
  <si>
    <t>27/04 – 03/05/26</t>
  </si>
  <si>
    <t>04/05 – 10/05/26</t>
  </si>
  <si>
    <t>11/05 – 17/05/26</t>
  </si>
  <si>
    <t>18/05 – 24/05/26</t>
  </si>
  <si>
    <t>25/05 – 31/05/26</t>
  </si>
  <si>
    <t>01/06 – 07/06/26</t>
  </si>
  <si>
    <t>08/06 – 14/06/26</t>
  </si>
  <si>
    <t>15/06 – 21/06/26</t>
  </si>
  <si>
    <t>22/06 – 28/06/26</t>
  </si>
  <si>
    <t>Q3 2026 — JUL | AGO | SET</t>
  </si>
  <si>
    <t>06/07 – 12/07/26</t>
  </si>
  <si>
    <t>13/07 – 19/07/26</t>
  </si>
  <si>
    <t>20/07 – 26/07/26</t>
  </si>
  <si>
    <t>27/07 – 02/08/26</t>
  </si>
  <si>
    <t>03/08 – 09/08/26</t>
  </si>
  <si>
    <t>10/08 – 16/08/26</t>
  </si>
  <si>
    <t>17/08 – 23/08/26</t>
  </si>
  <si>
    <t>24/08 – 30/08/26</t>
  </si>
  <si>
    <t>31/08 – 06/09/26</t>
  </si>
  <si>
    <t>07/09 – 13/09/26</t>
  </si>
  <si>
    <t>14/09 – 20/09/26</t>
  </si>
  <si>
    <t>21/09 – 27/09/26</t>
  </si>
  <si>
    <t>Q4 2026 — OUT | NOV | DEZ</t>
  </si>
  <si>
    <t>05/10 – 11/10/26</t>
  </si>
  <si>
    <t>12/10 – 18/10/26</t>
  </si>
  <si>
    <t>19/10 – 25/10/26</t>
  </si>
  <si>
    <t>26/10 – 01/11/26</t>
  </si>
  <si>
    <t>02/11 – 08/11/26</t>
  </si>
  <si>
    <t>09/11 – 15/11/26</t>
  </si>
  <si>
    <t>16/11 – 22/11/26</t>
  </si>
  <si>
    <t>23/11 – 29/11/26</t>
  </si>
  <si>
    <t>30/11 – 06/12/26</t>
  </si>
  <si>
    <t>07/12 – 13/12/26</t>
  </si>
  <si>
    <t>14/12 – 20/12/26</t>
  </si>
  <si>
    <t>21/12 – 27/12/26</t>
  </si>
  <si>
    <t>S52</t>
  </si>
  <si>
    <t>28/12 – 03/01/27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</si>
</sst>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&quot;R$ &quot;#,##0.00"/>
    <numFmt numFmtId="167" formatCode="dd/mm/aaaa"/>
  </numFmts>
  <fonts count="3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C8A951"/>
      <name val="Arial"/>
      <charset val="1"/>
    </font>
    <font>
      <sz val="9"/>
      <color rgb="FF1A2744"/>
      <name val="Arial"/>
      <charset val="1"/>
    </font>
    <font>
      <b/>
      <sz val="9"/>
      <color rgb="FF1A2744"/>
      <name val="Arial"/>
      <charset val="1"/>
    </font>
    <font>
      <b/>
      <sz val="17"/>
      <color rgb="FF00B0F0"/>
      <name val="Arial"/>
      <charset val="1"/>
    </font>
    <font>
      <b/>
      <sz val="17"/>
      <color rgb="FF1F497D"/>
      <name val="Arial"/>
      <charset val="1"/>
    </font>
    <font>
      <b/>
      <sz val="17"/>
      <color rgb="FF375623"/>
      <name val="Arial"/>
      <charset val="1"/>
    </font>
    <font>
      <b/>
      <sz val="17"/>
      <color rgb="FF7F3F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1A2744"/>
      <name val="Arial"/>
      <charset val="1"/>
    </font>
    <font>
      <sz val="10"/>
      <color rgb="FF1F497D"/>
      <name val="Arial"/>
      <charset val="1"/>
    </font>
    <font>
      <sz val="10"/>
      <color rgb="FF000000"/>
      <name val="Arial"/>
      <charset val="1"/>
    </font>
    <font>
      <sz val="8"/>
      <color rgb="FF1A2744"/>
      <name val="Arial"/>
      <charset val="1"/>
    </font>
    <font>
      <sz val="9"/>
      <color rgb="FFC8A951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sz val="10"/>
      <color rgb="FF1A2744"/>
      <name val="Arial"/>
      <charset val="1"/>
    </font>
    <font>
      <sz val="10"/>
      <color rgb="FF7F3F00"/>
      <name val="Arial"/>
      <charset val="1"/>
    </font>
    <font>
      <i/>
      <sz val="9"/>
      <color rgb="FF1A2744"/>
      <name val="Arial"/>
      <charset val="1"/>
    </font>
    <font>
      <i/>
      <sz val="9"/>
      <color rgb="FF000000"/>
      <name val="Arial"/>
      <charset val="1"/>
    </font>
    <font>
      <b/>
      <sz val="9"/>
      <color rgb="FF7F3F00"/>
      <name val="Arial"/>
      <charset val="1"/>
    </font>
    <font>
      <b/>
      <sz val="10"/>
      <color rgb="FF000000"/>
      <name val="Arial"/>
      <charset val="1"/>
    </font>
    <font>
      <b/>
      <sz val="12"/>
      <color rgb="FF1A2744"/>
      <name val="Arial"/>
      <charset val="1"/>
    </font>
    <font>
      <sz val="9"/>
      <color rgb="FF7F3F00"/>
      <name val="Arial"/>
      <charset val="1"/>
    </font>
    <font>
      <sz val="9"/>
      <color rgb="FF1F497D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595959"/>
      <name val="Arial"/>
      <charset val="1"/>
    </font>
    <font>
      <b/>
      <sz val="14"/>
      <color rgb="FF1A2744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A2744"/>
        <bgColor rgb="FF1B3A6B"/>
      </patternFill>
    </fill>
    <fill>
      <patternFill patternType="solid">
        <fgColor rgb="FFF2F5FA"/>
        <bgColor rgb="FFFFFFFF"/>
      </patternFill>
    </fill>
    <fill>
      <patternFill patternType="solid">
        <fgColor rgb="FFDEEEFF"/>
        <bgColor rgb="FFDCE6F1"/>
      </patternFill>
    </fill>
    <fill>
      <patternFill patternType="solid">
        <fgColor rgb="FFDCE6F1"/>
        <bgColor rgb="FFDEEEFF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5E6B0"/>
      </patternFill>
    </fill>
    <fill>
      <patternFill patternType="solid">
        <fgColor rgb="FF243B6E"/>
        <bgColor rgb="FF1B3A6B"/>
      </patternFill>
    </fill>
    <fill>
      <patternFill patternType="solid">
        <fgColor rgb="FFC8A951"/>
        <bgColor rgb="FFBFBFBF"/>
      </patternFill>
    </fill>
    <fill>
      <patternFill patternType="solid">
        <fgColor rgb="FFFFFFC0"/>
        <bgColor rgb="FFF5E6B0"/>
      </patternFill>
    </fill>
    <fill>
      <patternFill patternType="solid">
        <fgColor rgb="FFFFFFFF"/>
        <bgColor rgb="FFF2F5FA"/>
      </patternFill>
    </fill>
    <fill>
      <patternFill patternType="solid">
        <fgColor rgb="FFFFF200"/>
        <bgColor rgb="FFFFFF00"/>
      </patternFill>
    </fill>
    <fill>
      <patternFill patternType="solid">
        <fgColor rgb="FFEE4D2D"/>
        <bgColor rgb="FFFF8080"/>
      </patternFill>
    </fill>
    <fill>
      <patternFill patternType="solid">
        <fgColor rgb="FFFF9900"/>
        <bgColor rgb="FFFFCC00"/>
      </patternFill>
    </fill>
    <fill>
      <patternFill patternType="solid">
        <fgColor rgb="FF1B3A6B"/>
        <bgColor rgb="FF243B6E"/>
      </patternFill>
    </fill>
    <fill>
      <patternFill patternType="solid">
        <fgColor rgb="FF595959"/>
        <bgColor rgb="FF375623"/>
      </patternFill>
    </fill>
    <fill>
      <patternFill patternType="solid">
        <fgColor rgb="FFF5E6B0"/>
        <bgColor rgb="FFFCE4D6"/>
      </patternFill>
    </fill>
    <fill>
      <patternFill patternType="solid">
        <fgColor rgb="FFFFCCCC"/>
        <bgColor rgb="FFFCE4D6"/>
      </patternFill>
    </fill>
    <fill>
      <patternFill patternType="solid">
        <fgColor rgb="FF1F6B3E"/>
        <bgColor rgb="FF375623"/>
      </patternFill>
    </fill>
    <fill>
      <patternFill patternType="solid">
        <fgColor rgb="FF7F3F00"/>
        <bgColor rgb="FF993366"/>
      </patternFill>
    </fill>
  </fills>
  <borders count="4">
    <border>
      <left/>
      <right/>
      <top/>
      <bottom/>
      <diagonal/>
    </border>
    <border>
      <left style="medium">
        <color rgb="FF1A2744"/>
      </left>
      <right/>
      <top style="medium">
        <color rgb="FF1A2744"/>
      </top>
      <bottom style="medium">
        <color rgb="FF1A274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A2744"/>
      </left>
      <right style="medium">
        <color rgb="FF1A2744"/>
      </right>
      <top style="medium">
        <color rgb="FF1A2744"/>
      </top>
      <bottom style="medium">
        <color rgb="FF1A274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0" fillId="2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11" fillId="10" borderId="2" xfId="0" applyNumberFormat="1" applyFont="1" applyFill="1" applyBorder="1" applyAlignment="1">
      <alignment horizontal="center" vertical="center"/>
    </xf>
    <xf numFmtId="3" fontId="10" fillId="9" borderId="3" xfId="0" applyNumberFormat="1" applyFont="1" applyFill="1" applyBorder="1" applyAlignment="1">
      <alignment horizontal="center" vertical="center"/>
    </xf>
    <xf numFmtId="3" fontId="11" fillId="5" borderId="2" xfId="0" applyNumberFormat="1" applyFont="1" applyFill="1" applyBorder="1" applyAlignment="1">
      <alignment horizontal="center" vertical="center"/>
    </xf>
    <xf numFmtId="164" fontId="11" fillId="11" borderId="2" xfId="0" applyNumberFormat="1" applyFont="1" applyFill="1" applyBorder="1" applyAlignment="1">
      <alignment horizontal="center" vertical="center"/>
    </xf>
    <xf numFmtId="164" fontId="10" fillId="9" borderId="3" xfId="0" applyNumberFormat="1" applyFont="1" applyFill="1" applyBorder="1" applyAlignment="1">
      <alignment horizontal="center" vertical="center"/>
    </xf>
    <xf numFmtId="10" fontId="11" fillId="11" borderId="2" xfId="0" applyNumberFormat="1" applyFont="1" applyFill="1" applyBorder="1" applyAlignment="1">
      <alignment horizontal="center" vertical="center"/>
    </xf>
    <xf numFmtId="10" fontId="10" fillId="9" borderId="3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164" fontId="13" fillId="5" borderId="2" xfId="0" applyNumberFormat="1" applyFont="1" applyFill="1" applyBorder="1" applyAlignment="1">
      <alignment horizontal="center" vertical="center"/>
    </xf>
    <xf numFmtId="3" fontId="14" fillId="11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/>
    </xf>
    <xf numFmtId="0" fontId="15" fillId="17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9" fillId="2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3" fontId="20" fillId="10" borderId="2" xfId="0" applyNumberFormat="1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/>
    </xf>
    <xf numFmtId="3" fontId="13" fillId="5" borderId="2" xfId="0" applyNumberFormat="1" applyFont="1" applyFill="1" applyBorder="1" applyAlignment="1">
      <alignment horizontal="center" vertical="center"/>
    </xf>
    <xf numFmtId="164" fontId="14" fillId="11" borderId="2" xfId="0" applyNumberFormat="1" applyFont="1" applyFill="1" applyBorder="1" applyAlignment="1">
      <alignment horizontal="center" vertical="center"/>
    </xf>
    <xf numFmtId="164" fontId="9" fillId="9" borderId="3" xfId="0" applyNumberFormat="1" applyFont="1" applyFill="1" applyBorder="1" applyAlignment="1">
      <alignment horizontal="center" vertical="center"/>
    </xf>
    <xf numFmtId="10" fontId="14" fillId="11" borderId="2" xfId="0" applyNumberFormat="1" applyFont="1" applyFill="1" applyBorder="1" applyAlignment="1">
      <alignment horizontal="center" vertical="center"/>
    </xf>
    <xf numFmtId="10" fontId="9" fillId="9" borderId="3" xfId="0" applyNumberFormat="1" applyFont="1" applyFill="1" applyBorder="1" applyAlignment="1">
      <alignment horizontal="center" vertical="center"/>
    </xf>
    <xf numFmtId="165" fontId="14" fillId="11" borderId="2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3" fontId="14" fillId="3" borderId="2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3" fontId="12" fillId="17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66" fontId="9" fillId="9" borderId="3" xfId="0" applyNumberFormat="1" applyFont="1" applyFill="1" applyBorder="1" applyAlignment="1">
      <alignment horizontal="center" vertical="center"/>
    </xf>
    <xf numFmtId="3" fontId="24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2" fillId="18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3" fontId="26" fillId="10" borderId="2" xfId="0" applyNumberFormat="1" applyFont="1" applyFill="1" applyBorder="1" applyAlignment="1">
      <alignment horizontal="center" vertical="center"/>
    </xf>
    <xf numFmtId="3" fontId="27" fillId="5" borderId="2" xfId="0" applyNumberFormat="1" applyFont="1" applyFill="1" applyBorder="1" applyAlignment="1">
      <alignment horizontal="center" vertical="center"/>
    </xf>
    <xf numFmtId="165" fontId="11" fillId="11" borderId="2" xfId="0" applyNumberFormat="1" applyFont="1" applyFill="1" applyBorder="1" applyAlignment="1">
      <alignment horizontal="center" vertical="center"/>
    </xf>
    <xf numFmtId="165" fontId="10" fillId="9" borderId="3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10" fillId="9" borderId="3" xfId="0" applyNumberFormat="1" applyFont="1" applyFill="1" applyBorder="1" applyAlignment="1">
      <alignment horizontal="center" vertical="center"/>
    </xf>
    <xf numFmtId="3" fontId="29" fillId="8" borderId="3" xfId="0" applyNumberFormat="1" applyFont="1" applyFill="1" applyBorder="1" applyAlignment="1">
      <alignment horizontal="center" vertical="center"/>
    </xf>
    <xf numFmtId="167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10" fontId="11" fillId="3" borderId="2" xfId="0" applyNumberFormat="1" applyFont="1" applyFill="1" applyBorder="1" applyAlignment="1">
      <alignment horizontal="center" vertical="center"/>
    </xf>
    <xf numFmtId="165" fontId="11" fillId="3" borderId="2" xfId="0" applyNumberFormat="1" applyFont="1" applyFill="1" applyBorder="1" applyAlignment="1">
      <alignment horizontal="center" vertical="center"/>
    </xf>
    <xf numFmtId="167" fontId="23" fillId="7" borderId="2" xfId="0" applyNumberFormat="1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166" fontId="11" fillId="7" borderId="2" xfId="0" applyNumberFormat="1" applyFont="1" applyFill="1" applyBorder="1" applyAlignment="1">
      <alignment horizontal="center" vertical="center"/>
    </xf>
    <xf numFmtId="10" fontId="11" fillId="7" borderId="2" xfId="0" applyNumberFormat="1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0" fontId="9" fillId="2" borderId="3" xfId="0" applyNumberFormat="1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164" fontId="29" fillId="9" borderId="3" xfId="0" applyNumberFormat="1" applyFont="1" applyFill="1" applyBorder="1" applyAlignment="1">
      <alignment horizontal="center" vertical="center"/>
    </xf>
    <xf numFmtId="3" fontId="29" fillId="19" borderId="3" xfId="0" applyNumberFormat="1" applyFont="1" applyFill="1" applyBorder="1" applyAlignment="1">
      <alignment horizontal="center" vertical="center"/>
    </xf>
    <xf numFmtId="3" fontId="29" fillId="20" borderId="3" xfId="0" applyNumberFormat="1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left" vertical="center"/>
    </xf>
    <xf numFmtId="3" fontId="28" fillId="9" borderId="3" xfId="0" applyNumberFormat="1" applyFont="1" applyFill="1" applyBorder="1" applyAlignment="1">
      <alignment horizontal="center" vertical="center"/>
    </xf>
    <xf numFmtId="164" fontId="31" fillId="9" borderId="3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0" fontId="8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1F6B3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0"/>
      <rgbColor rgb="FFDEEEFF"/>
      <rgbColor rgb="FF660066"/>
      <rgbColor rgb="FFFF8080"/>
      <rgbColor rgb="FF1F497D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CE6F1"/>
      <rgbColor rgb="FFE2EFDA"/>
      <rgbColor rgb="FFF5E6B0"/>
      <rgbColor rgb="FFF2F5FA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E4D2D"/>
      <rgbColor rgb="FF595959"/>
      <rgbColor rgb="FFC8A951"/>
      <rgbColor rgb="FF1B3A6B"/>
      <rgbColor rgb="FF339966"/>
      <rgbColor rgb="FF003300"/>
      <rgbColor rgb="FF375623"/>
      <rgbColor rgb="FF7F3F00"/>
      <rgbColor rgb="FF993366"/>
      <rgbColor rgb="FF243B6E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42A2D9-2BBD-4361-A900-0AEBE4076379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B2:Q35"/>
  <sheetViews>
    <sheetView showGridLines="0" topLeftCell="A3" zoomScaleNormal="100" workbookViewId="0">
      <selection activeCell="B8" sqref="B8:E8"/>
    </sheetView>
  </sheetViews>
  <sheetFormatPr defaultColWidth="8.7109375" defaultRowHeight="15" x14ac:dyDescent="0.25"/>
  <cols>
    <col min="1" max="1" width="2" customWidth="1"/>
    <col min="2" max="2" width="21.28515625" customWidth="1"/>
    <col min="3" max="17" width="12.42578125" customWidth="1"/>
  </cols>
  <sheetData>
    <row r="2" spans="2:17" ht="51.75" customHeight="1" x14ac:dyDescent="0.25">
      <c r="B2" s="115" t="s">
        <v>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pans="2:17" ht="19.5" customHeight="1" x14ac:dyDescent="0.25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</row>
    <row r="4" spans="2:17" ht="9.75" customHeight="1" x14ac:dyDescent="0.25"/>
    <row r="5" spans="2:17" ht="15.75" customHeight="1" x14ac:dyDescent="0.25"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7" spans="2:17" ht="24.75" customHeight="1" x14ac:dyDescent="0.25">
      <c r="B7" s="118" t="s">
        <v>1</v>
      </c>
      <c r="C7" s="118"/>
      <c r="D7" s="118"/>
      <c r="E7" s="118"/>
      <c r="F7" s="119" t="s">
        <v>2</v>
      </c>
      <c r="G7" s="119"/>
      <c r="H7" s="119"/>
      <c r="I7" s="119"/>
      <c r="J7" s="120" t="s">
        <v>3</v>
      </c>
      <c r="K7" s="120"/>
      <c r="L7" s="120"/>
      <c r="M7" s="120"/>
      <c r="N7" s="121" t="s">
        <v>4</v>
      </c>
      <c r="O7" s="121"/>
      <c r="P7" s="121"/>
      <c r="Q7" s="121"/>
    </row>
    <row r="8" spans="2:17" ht="37.5" customHeight="1" x14ac:dyDescent="0.25">
      <c r="B8" s="111">
        <f>IFERROR(SUM('📊 ANUAL MKTPLACES'!C4:N4),"-")</f>
        <v>0</v>
      </c>
      <c r="C8" s="111"/>
      <c r="D8" s="111"/>
      <c r="E8" s="111"/>
      <c r="F8" s="112">
        <f>IFERROR(SUM('📊 ANUAL MKTPLACES'!C5:N5),"-")</f>
        <v>0</v>
      </c>
      <c r="G8" s="112"/>
      <c r="H8" s="112"/>
      <c r="I8" s="112"/>
      <c r="J8" s="113" t="str">
        <f>IFERROR(SUM('📊 ANUAL MKTPLACES'!C5:N5)/SUM('📊 ANUAL MKTPLACES'!C4:N4),"-")</f>
        <v>-</v>
      </c>
      <c r="K8" s="113"/>
      <c r="L8" s="113"/>
      <c r="M8" s="113"/>
      <c r="N8" s="114" t="str">
        <f>IFERROR(SUM('📊 ANUAL MKTPLACES'!C8:N8)/SUM('📊 ANUAL MKTPLACES'!C5:N5),"-")</f>
        <v>-</v>
      </c>
      <c r="O8" s="114"/>
      <c r="P8" s="114"/>
      <c r="Q8" s="114"/>
    </row>
    <row r="9" spans="2:17" ht="9.75" customHeight="1" x14ac:dyDescent="0.25"/>
    <row r="11" spans="2:17" ht="9.75" customHeight="1" x14ac:dyDescent="0.25"/>
    <row r="12" spans="2:17" ht="19.5" customHeight="1" x14ac:dyDescent="0.25">
      <c r="B12" s="109" t="s">
        <v>5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2:17" ht="18" customHeight="1" x14ac:dyDescent="0.25">
      <c r="B13" s="1"/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1" t="s">
        <v>11</v>
      </c>
      <c r="I13" s="1" t="s">
        <v>12</v>
      </c>
      <c r="J13" s="1" t="s">
        <v>13</v>
      </c>
      <c r="K13" s="1" t="s">
        <v>14</v>
      </c>
      <c r="L13" s="1" t="s">
        <v>15</v>
      </c>
      <c r="M13" s="1" t="s">
        <v>16</v>
      </c>
      <c r="N13" s="1" t="s">
        <v>17</v>
      </c>
      <c r="O13" s="2" t="s">
        <v>18</v>
      </c>
    </row>
    <row r="14" spans="2:17" ht="18" customHeight="1" x14ac:dyDescent="0.25">
      <c r="B14" s="3" t="s">
        <v>19</v>
      </c>
      <c r="C14" s="4">
        <f>IFERROR('📊 ANUAL MKTPLACES'!C4,"-")</f>
        <v>0</v>
      </c>
      <c r="D14" s="4">
        <f>IFERROR('📊 ANUAL MKTPLACES'!D4,"-")</f>
        <v>0</v>
      </c>
      <c r="E14" s="4">
        <f>IFERROR('📊 ANUAL MKTPLACES'!E4,"-")</f>
        <v>0</v>
      </c>
      <c r="F14" s="4">
        <f>IFERROR('📊 ANUAL MKTPLACES'!F4,"-")</f>
        <v>0</v>
      </c>
      <c r="G14" s="4">
        <f>IFERROR('📊 ANUAL MKTPLACES'!G4,"-")</f>
        <v>0</v>
      </c>
      <c r="H14" s="4">
        <f>IFERROR('📊 ANUAL MKTPLACES'!H4,"-")</f>
        <v>0</v>
      </c>
      <c r="I14" s="4">
        <f>IFERROR('📊 ANUAL MKTPLACES'!I4,"-")</f>
        <v>0</v>
      </c>
      <c r="J14" s="4">
        <f>IFERROR('📊 ANUAL MKTPLACES'!J4,"-")</f>
        <v>0</v>
      </c>
      <c r="K14" s="4">
        <f>IFERROR('📊 ANUAL MKTPLACES'!K4,"-")</f>
        <v>0</v>
      </c>
      <c r="L14" s="4">
        <f>IFERROR('📊 ANUAL MKTPLACES'!L4,"-")</f>
        <v>0</v>
      </c>
      <c r="M14" s="4">
        <f>IFERROR('📊 ANUAL MKTPLACES'!M4,"-")</f>
        <v>0</v>
      </c>
      <c r="N14" s="4">
        <f>IFERROR('📊 ANUAL MKTPLACES'!N4,"-")</f>
        <v>0</v>
      </c>
      <c r="Q14" s="5">
        <f>IFERROR('📊 ANUAL MKTPLACES'!N4,"-")</f>
        <v>0</v>
      </c>
    </row>
    <row r="15" spans="2:17" ht="18" customHeight="1" x14ac:dyDescent="0.25">
      <c r="B15" s="3" t="s">
        <v>20</v>
      </c>
      <c r="C15" s="6">
        <f>IFERROR('📊 ANUAL MKTPLACES'!C5,"-")</f>
        <v>0</v>
      </c>
      <c r="D15" s="6">
        <f>IFERROR('📊 ANUAL MKTPLACES'!D5,"-")</f>
        <v>0</v>
      </c>
      <c r="E15" s="6">
        <f>IFERROR('📊 ANUAL MKTPLACES'!E5,"-")</f>
        <v>0</v>
      </c>
      <c r="F15" s="6">
        <f>IFERROR('📊 ANUAL MKTPLACES'!F5,"-")</f>
        <v>0</v>
      </c>
      <c r="G15" s="6">
        <f>IFERROR('📊 ANUAL MKTPLACES'!G5,"-")</f>
        <v>0</v>
      </c>
      <c r="H15" s="6">
        <f>IFERROR('📊 ANUAL MKTPLACES'!H5,"-")</f>
        <v>0</v>
      </c>
      <c r="I15" s="6">
        <f>IFERROR('📊 ANUAL MKTPLACES'!I5,"-")</f>
        <v>0</v>
      </c>
      <c r="J15" s="6">
        <f>IFERROR('📊 ANUAL MKTPLACES'!J5,"-")</f>
        <v>0</v>
      </c>
      <c r="K15" s="6">
        <f>IFERROR('📊 ANUAL MKTPLACES'!K5,"-")</f>
        <v>0</v>
      </c>
      <c r="L15" s="6">
        <f>IFERROR('📊 ANUAL MKTPLACES'!L5,"-")</f>
        <v>0</v>
      </c>
      <c r="M15" s="6">
        <f>IFERROR('📊 ANUAL MKTPLACES'!M5,"-")</f>
        <v>0</v>
      </c>
      <c r="N15" s="6">
        <f>IFERROR('📊 ANUAL MKTPLACES'!N5,"-")</f>
        <v>0</v>
      </c>
      <c r="Q15" s="5">
        <f>IFERROR('📊 ANUAL MKTPLACES'!N5,"-")</f>
        <v>0</v>
      </c>
    </row>
    <row r="16" spans="2:17" ht="18" customHeight="1" x14ac:dyDescent="0.25">
      <c r="B16" s="3" t="s">
        <v>21</v>
      </c>
      <c r="C16" s="7">
        <f>IFERROR('📊 ANUAL MKTPLACES'!C6,"-")</f>
        <v>0</v>
      </c>
      <c r="D16" s="7">
        <f>IFERROR('📊 ANUAL MKTPLACES'!D6,"-")</f>
        <v>0</v>
      </c>
      <c r="E16" s="7">
        <f>IFERROR('📊 ANUAL MKTPLACES'!E6,"-")</f>
        <v>0</v>
      </c>
      <c r="F16" s="7">
        <f>IFERROR('📊 ANUAL MKTPLACES'!F6,"-")</f>
        <v>0</v>
      </c>
      <c r="G16" s="7">
        <f>IFERROR('📊 ANUAL MKTPLACES'!G6,"-")</f>
        <v>0</v>
      </c>
      <c r="H16" s="7">
        <f>IFERROR('📊 ANUAL MKTPLACES'!H6,"-")</f>
        <v>0</v>
      </c>
      <c r="I16" s="7">
        <f>IFERROR('📊 ANUAL MKTPLACES'!I6,"-")</f>
        <v>0</v>
      </c>
      <c r="J16" s="7">
        <f>IFERROR('📊 ANUAL MKTPLACES'!J6,"-")</f>
        <v>0</v>
      </c>
      <c r="K16" s="7">
        <f>IFERROR('📊 ANUAL MKTPLACES'!K6,"-")</f>
        <v>0</v>
      </c>
      <c r="L16" s="7">
        <f>IFERROR('📊 ANUAL MKTPLACES'!L6,"-")</f>
        <v>0</v>
      </c>
      <c r="M16" s="7">
        <f>IFERROR('📊 ANUAL MKTPLACES'!M6,"-")</f>
        <v>0</v>
      </c>
      <c r="N16" s="7">
        <f>IFERROR('📊 ANUAL MKTPLACES'!N6,"-")</f>
        <v>0</v>
      </c>
      <c r="Q16" s="8">
        <f>IFERROR('📊 ANUAL MKTPLACES'!N6,"-")</f>
        <v>0</v>
      </c>
    </row>
    <row r="17" spans="2:17" ht="18" customHeight="1" x14ac:dyDescent="0.25">
      <c r="B17" s="3" t="s">
        <v>22</v>
      </c>
      <c r="C17" s="6" t="str">
        <f>IFERROR('📊 ANUAL MKTPLACES'!C8,"-")</f>
        <v/>
      </c>
      <c r="D17" s="6" t="str">
        <f>IFERROR('📊 ANUAL MKTPLACES'!D8,"-")</f>
        <v/>
      </c>
      <c r="E17" s="6" t="str">
        <f>IFERROR('📊 ANUAL MKTPLACES'!E8,"-")</f>
        <v/>
      </c>
      <c r="F17" s="6" t="str">
        <f>IFERROR('📊 ANUAL MKTPLACES'!F8,"-")</f>
        <v/>
      </c>
      <c r="G17" s="6" t="str">
        <f>IFERROR('📊 ANUAL MKTPLACES'!G8,"-")</f>
        <v/>
      </c>
      <c r="H17" s="6" t="str">
        <f>IFERROR('📊 ANUAL MKTPLACES'!H8,"-")</f>
        <v/>
      </c>
      <c r="I17" s="6" t="str">
        <f>IFERROR('📊 ANUAL MKTPLACES'!I8,"-")</f>
        <v/>
      </c>
      <c r="J17" s="6" t="str">
        <f>IFERROR('📊 ANUAL MKTPLACES'!J8,"-")</f>
        <v/>
      </c>
      <c r="K17" s="6" t="str">
        <f>IFERROR('📊 ANUAL MKTPLACES'!K8,"-")</f>
        <v/>
      </c>
      <c r="L17" s="6" t="str">
        <f>IFERROR('📊 ANUAL MKTPLACES'!L8,"-")</f>
        <v/>
      </c>
      <c r="M17" s="6" t="str">
        <f>IFERROR('📊 ANUAL MKTPLACES'!M8,"-")</f>
        <v/>
      </c>
      <c r="N17" s="6" t="str">
        <f>IFERROR('📊 ANUAL MKTPLACES'!N8,"-")</f>
        <v>-</v>
      </c>
      <c r="Q17" s="5" t="str">
        <f>IFERROR('📊 ANUAL MKTPLACES'!N7,"-")</f>
        <v>-</v>
      </c>
    </row>
    <row r="18" spans="2:17" ht="18" customHeight="1" x14ac:dyDescent="0.25">
      <c r="B18" s="3" t="s">
        <v>23</v>
      </c>
      <c r="C18" s="9">
        <f>IFERROR('📊 ANUAL MKTPLACES'!C9,"-")</f>
        <v>0</v>
      </c>
      <c r="D18" s="9">
        <f>IFERROR('📊 ANUAL MKTPLACES'!D9,"-")</f>
        <v>0</v>
      </c>
      <c r="E18" s="9">
        <f>IFERROR('📊 ANUAL MKTPLACES'!E9,"-")</f>
        <v>0</v>
      </c>
      <c r="F18" s="9">
        <f>IFERROR('📊 ANUAL MKTPLACES'!F9,"-")</f>
        <v>0</v>
      </c>
      <c r="G18" s="9">
        <f>IFERROR('📊 ANUAL MKTPLACES'!G9,"-")</f>
        <v>0</v>
      </c>
      <c r="H18" s="9">
        <f>IFERROR('📊 ANUAL MKTPLACES'!H9,"-")</f>
        <v>0</v>
      </c>
      <c r="I18" s="9">
        <f>IFERROR('📊 ANUAL MKTPLACES'!I9,"-")</f>
        <v>0</v>
      </c>
      <c r="J18" s="9">
        <f>IFERROR('📊 ANUAL MKTPLACES'!J9,"-")</f>
        <v>0</v>
      </c>
      <c r="K18" s="9">
        <f>IFERROR('📊 ANUAL MKTPLACES'!K9,"-")</f>
        <v>0</v>
      </c>
      <c r="L18" s="9">
        <f>IFERROR('📊 ANUAL MKTPLACES'!L9,"-")</f>
        <v>0</v>
      </c>
      <c r="M18" s="9">
        <f>IFERROR('📊 ANUAL MKTPLACES'!M9,"-")</f>
        <v>0</v>
      </c>
      <c r="N18" s="9">
        <f>IFERROR('📊 ANUAL MKTPLACES'!N9,"-")</f>
        <v>0</v>
      </c>
      <c r="Q18" s="10" t="str">
        <f>IFERROR('📊 ANUAL MKTPLACES'!N8,"-")</f>
        <v>-</v>
      </c>
    </row>
    <row r="20" spans="2:17" ht="9.75" customHeight="1" x14ac:dyDescent="0.25"/>
    <row r="21" spans="2:17" ht="19.5" customHeight="1" x14ac:dyDescent="0.25">
      <c r="B21" s="109" t="s">
        <v>24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</row>
    <row r="22" spans="2:17" ht="18" customHeight="1" x14ac:dyDescent="0.25">
      <c r="B22" s="1" t="s">
        <v>25</v>
      </c>
      <c r="C22" s="1" t="s">
        <v>26</v>
      </c>
      <c r="D22" s="1" t="s">
        <v>27</v>
      </c>
    </row>
    <row r="23" spans="2:17" ht="18" customHeight="1" x14ac:dyDescent="0.25">
      <c r="B23" s="11" t="s">
        <v>28</v>
      </c>
      <c r="C23" s="12"/>
      <c r="D23" s="13">
        <f>IFERROR(C23*SUM('📊 ANUAL MKTPLACES'!C4:N4),"-")</f>
        <v>0</v>
      </c>
    </row>
    <row r="24" spans="2:17" ht="18" customHeight="1" x14ac:dyDescent="0.25">
      <c r="B24" s="14" t="s">
        <v>29</v>
      </c>
      <c r="C24" s="12"/>
      <c r="D24" s="13">
        <f>IFERROR(C24*SUM('📊 ANUAL MKTPLACES'!C4:N4),"-")</f>
        <v>0</v>
      </c>
    </row>
    <row r="25" spans="2:17" ht="18" customHeight="1" x14ac:dyDescent="0.25">
      <c r="B25" s="15" t="s">
        <v>30</v>
      </c>
      <c r="C25" s="12"/>
      <c r="D25" s="13">
        <f>IFERROR(C25*SUM('📊 ANUAL MKTPLACES'!C4:N4),"-")</f>
        <v>0</v>
      </c>
    </row>
    <row r="26" spans="2:17" ht="18" customHeight="1" x14ac:dyDescent="0.25">
      <c r="B26" s="16" t="s">
        <v>31</v>
      </c>
      <c r="C26" s="12"/>
      <c r="D26" s="13">
        <f>IFERROR(C26*SUM('📊 ANUAL MKTPLACES'!C4:N4),"-")</f>
        <v>0</v>
      </c>
    </row>
    <row r="27" spans="2:17" ht="18" customHeight="1" x14ac:dyDescent="0.25">
      <c r="B27" s="17" t="s">
        <v>32</v>
      </c>
      <c r="C27" s="12"/>
      <c r="D27" s="13">
        <f>IFERROR(C27*SUM('📊 ANUAL MKTPLACES'!C4:N4),"-")</f>
        <v>0</v>
      </c>
    </row>
    <row r="29" spans="2:17" ht="9.75" customHeight="1" x14ac:dyDescent="0.25"/>
    <row r="30" spans="2:17" ht="19.5" customHeight="1" x14ac:dyDescent="0.25">
      <c r="B30" s="109" t="s">
        <v>33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</row>
    <row r="31" spans="2:17" ht="18" customHeight="1" x14ac:dyDescent="0.25">
      <c r="B31" s="1" t="s">
        <v>6</v>
      </c>
      <c r="C31" s="1" t="s">
        <v>7</v>
      </c>
      <c r="D31" s="1" t="s">
        <v>8</v>
      </c>
      <c r="E31" s="1" t="s">
        <v>9</v>
      </c>
      <c r="F31" s="1" t="s">
        <v>10</v>
      </c>
      <c r="G31" s="1" t="s">
        <v>11</v>
      </c>
      <c r="H31" s="1" t="s">
        <v>12</v>
      </c>
      <c r="I31" s="2" t="s">
        <v>13</v>
      </c>
      <c r="J31" s="1" t="s">
        <v>14</v>
      </c>
      <c r="K31" s="1" t="s">
        <v>15</v>
      </c>
      <c r="L31" s="2" t="s">
        <v>16</v>
      </c>
      <c r="M31" s="2" t="s">
        <v>17</v>
      </c>
    </row>
    <row r="32" spans="2:17" ht="48" customHeight="1" x14ac:dyDescent="0.25">
      <c r="B32" s="18" t="s">
        <v>34</v>
      </c>
      <c r="C32" s="18" t="s">
        <v>35</v>
      </c>
      <c r="D32" s="18" t="s">
        <v>36</v>
      </c>
      <c r="E32" s="18" t="s">
        <v>37</v>
      </c>
      <c r="F32" s="18" t="s">
        <v>38</v>
      </c>
      <c r="G32" s="18" t="s">
        <v>39</v>
      </c>
      <c r="H32" s="18" t="s">
        <v>40</v>
      </c>
      <c r="I32" s="18" t="s">
        <v>41</v>
      </c>
      <c r="J32" s="18" t="s">
        <v>42</v>
      </c>
      <c r="K32" s="18" t="s">
        <v>43</v>
      </c>
      <c r="L32" s="18" t="s">
        <v>44</v>
      </c>
      <c r="M32" s="18" t="s">
        <v>45</v>
      </c>
    </row>
    <row r="34" spans="2:17" ht="9.75" customHeight="1" x14ac:dyDescent="0.25"/>
    <row r="35" spans="2:17" ht="19.5" customHeight="1" x14ac:dyDescent="0.25">
      <c r="B35" s="110" t="s">
        <v>46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</row>
  </sheetData>
  <mergeCells count="15">
    <mergeCell ref="B2:Q2"/>
    <mergeCell ref="B3:Q3"/>
    <mergeCell ref="B5:Q5"/>
    <mergeCell ref="B7:E7"/>
    <mergeCell ref="F7:I7"/>
    <mergeCell ref="J7:M7"/>
    <mergeCell ref="N7:Q7"/>
    <mergeCell ref="B21:Q21"/>
    <mergeCell ref="B30:Q30"/>
    <mergeCell ref="B35:Q35"/>
    <mergeCell ref="B8:E8"/>
    <mergeCell ref="F8:I8"/>
    <mergeCell ref="J8:M8"/>
    <mergeCell ref="N8:Q8"/>
    <mergeCell ref="B12:Q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B6E"/>
  </sheetPr>
  <dimension ref="A1:O3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9" sqref="B29:M34"/>
    </sheetView>
  </sheetViews>
  <sheetFormatPr defaultColWidth="8.7109375" defaultRowHeight="15" x14ac:dyDescent="0.25"/>
  <cols>
    <col min="1" max="1" width="30" customWidth="1"/>
    <col min="2" max="13" width="12" customWidth="1"/>
    <col min="14" max="14" width="14" customWidth="1"/>
    <col min="15" max="15" width="9" customWidth="1"/>
  </cols>
  <sheetData>
    <row r="1" spans="1:15" ht="36" customHeight="1" x14ac:dyDescent="0.25">
      <c r="A1" s="104" t="s">
        <v>47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ht="42" customHeight="1" x14ac:dyDescent="0.25">
      <c r="A2" s="19" t="s">
        <v>48</v>
      </c>
      <c r="B2" s="20" t="s">
        <v>34</v>
      </c>
      <c r="C2" s="20" t="s">
        <v>35</v>
      </c>
      <c r="D2" s="20" t="s">
        <v>36</v>
      </c>
      <c r="E2" s="20" t="s">
        <v>37</v>
      </c>
      <c r="F2" s="20" t="s">
        <v>38</v>
      </c>
      <c r="G2" s="20" t="s">
        <v>39</v>
      </c>
      <c r="H2" s="20" t="s">
        <v>40</v>
      </c>
      <c r="I2" s="21" t="s">
        <v>41</v>
      </c>
      <c r="J2" s="20" t="s">
        <v>42</v>
      </c>
      <c r="K2" s="20" t="s">
        <v>43</v>
      </c>
      <c r="L2" s="21" t="s">
        <v>44</v>
      </c>
      <c r="M2" s="21" t="s">
        <v>45</v>
      </c>
      <c r="N2" s="122" t="s">
        <v>18</v>
      </c>
    </row>
    <row r="3" spans="1:15" ht="19.5" customHeight="1" x14ac:dyDescent="0.25">
      <c r="A3" s="23"/>
      <c r="B3" s="24" t="s">
        <v>6</v>
      </c>
      <c r="C3" s="24" t="s">
        <v>7</v>
      </c>
      <c r="D3" s="24" t="s">
        <v>8</v>
      </c>
      <c r="E3" s="24" t="s">
        <v>9</v>
      </c>
      <c r="F3" s="24" t="s">
        <v>10</v>
      </c>
      <c r="G3" s="24" t="s">
        <v>11</v>
      </c>
      <c r="H3" s="24" t="s">
        <v>12</v>
      </c>
      <c r="I3" s="24" t="s">
        <v>13</v>
      </c>
      <c r="J3" s="24" t="s">
        <v>14</v>
      </c>
      <c r="K3" s="24" t="s">
        <v>15</v>
      </c>
      <c r="L3" s="24" t="s">
        <v>16</v>
      </c>
      <c r="M3" s="24" t="s">
        <v>17</v>
      </c>
      <c r="N3" s="122"/>
    </row>
    <row r="4" spans="1:15" ht="19.5" customHeight="1" x14ac:dyDescent="0.25">
      <c r="A4" s="109" t="s">
        <v>49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5" ht="18" customHeight="1" x14ac:dyDescent="0.25">
      <c r="A5" s="25" t="s">
        <v>50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>
        <f>IFERROR(SUM(B5:M5),"-")</f>
        <v>0</v>
      </c>
    </row>
    <row r="6" spans="1:15" ht="18" customHeight="1" x14ac:dyDescent="0.25">
      <c r="A6" s="25" t="s">
        <v>51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7">
        <f>IFERROR(SUM(B6:M6),"-")</f>
        <v>0</v>
      </c>
    </row>
    <row r="7" spans="1:15" ht="18" customHeight="1" x14ac:dyDescent="0.25">
      <c r="A7" s="25" t="s">
        <v>52</v>
      </c>
      <c r="B7" s="29" t="str">
        <f t="shared" ref="B7:M7" si="0">IFERROR(B6/B5,"-")</f>
        <v>-</v>
      </c>
      <c r="C7" s="29" t="str">
        <f t="shared" si="0"/>
        <v>-</v>
      </c>
      <c r="D7" s="29" t="str">
        <f t="shared" si="0"/>
        <v>-</v>
      </c>
      <c r="E7" s="29" t="str">
        <f t="shared" si="0"/>
        <v>-</v>
      </c>
      <c r="F7" s="29" t="str">
        <f t="shared" si="0"/>
        <v>-</v>
      </c>
      <c r="G7" s="29" t="str">
        <f t="shared" si="0"/>
        <v>-</v>
      </c>
      <c r="H7" s="29" t="str">
        <f t="shared" si="0"/>
        <v>-</v>
      </c>
      <c r="I7" s="29" t="str">
        <f t="shared" si="0"/>
        <v>-</v>
      </c>
      <c r="J7" s="29" t="str">
        <f t="shared" si="0"/>
        <v>-</v>
      </c>
      <c r="K7" s="29" t="str">
        <f t="shared" si="0"/>
        <v>-</v>
      </c>
      <c r="L7" s="29" t="str">
        <f t="shared" si="0"/>
        <v>-</v>
      </c>
      <c r="M7" s="29" t="str">
        <f t="shared" si="0"/>
        <v>-</v>
      </c>
      <c r="N7" s="30" t="str">
        <f>IFERROR(AVERAGEIF(B7:M7,"&gt;0"),"-")</f>
        <v>-</v>
      </c>
    </row>
    <row r="8" spans="1:15" ht="18" customHeight="1" x14ac:dyDescent="0.25">
      <c r="A8" s="25" t="s">
        <v>53</v>
      </c>
      <c r="B8" s="29" t="str">
        <f t="shared" ref="B8:M8" si="1">IFERROR("","")</f>
        <v/>
      </c>
      <c r="C8" s="29" t="str">
        <f t="shared" si="1"/>
        <v/>
      </c>
      <c r="D8" s="29" t="str">
        <f t="shared" si="1"/>
        <v/>
      </c>
      <c r="E8" s="29" t="str">
        <f t="shared" si="1"/>
        <v/>
      </c>
      <c r="F8" s="29" t="str">
        <f t="shared" si="1"/>
        <v/>
      </c>
      <c r="G8" s="29" t="str">
        <f t="shared" si="1"/>
        <v/>
      </c>
      <c r="H8" s="29" t="str">
        <f t="shared" si="1"/>
        <v/>
      </c>
      <c r="I8" s="29" t="str">
        <f t="shared" si="1"/>
        <v/>
      </c>
      <c r="J8" s="29" t="str">
        <f t="shared" si="1"/>
        <v/>
      </c>
      <c r="K8" s="29" t="str">
        <f t="shared" si="1"/>
        <v/>
      </c>
      <c r="L8" s="29" t="str">
        <f t="shared" si="1"/>
        <v/>
      </c>
      <c r="M8" s="29" t="str">
        <f t="shared" si="1"/>
        <v/>
      </c>
      <c r="N8" s="30" t="str">
        <f>IFERROR(AVERAGEIF(B8:M8,"&gt;0"),"-")</f>
        <v>-</v>
      </c>
    </row>
    <row r="9" spans="1:15" ht="18" customHeight="1" x14ac:dyDescent="0.25">
      <c r="A9" s="25" t="s">
        <v>54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>
        <f>IFERROR(SUM(B9:M9),"-")</f>
        <v>0</v>
      </c>
    </row>
    <row r="10" spans="1:15" ht="18" customHeight="1" x14ac:dyDescent="0.25">
      <c r="A10" s="25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7">
        <f>IFERROR(SUM(B10:M10),"-")</f>
        <v>0</v>
      </c>
    </row>
    <row r="11" spans="1:15" ht="18" customHeight="1" x14ac:dyDescent="0.25">
      <c r="A11" s="25" t="s">
        <v>56</v>
      </c>
      <c r="B11" s="29" t="str">
        <f t="shared" ref="B11:M11" si="2">IFERROR(B10/B9,"-")</f>
        <v>-</v>
      </c>
      <c r="C11" s="29" t="str">
        <f t="shared" si="2"/>
        <v>-</v>
      </c>
      <c r="D11" s="29" t="str">
        <f t="shared" si="2"/>
        <v>-</v>
      </c>
      <c r="E11" s="29" t="str">
        <f t="shared" si="2"/>
        <v>-</v>
      </c>
      <c r="F11" s="29" t="str">
        <f t="shared" si="2"/>
        <v>-</v>
      </c>
      <c r="G11" s="29" t="str">
        <f t="shared" si="2"/>
        <v>-</v>
      </c>
      <c r="H11" s="29" t="str">
        <f t="shared" si="2"/>
        <v>-</v>
      </c>
      <c r="I11" s="29" t="str">
        <f t="shared" si="2"/>
        <v>-</v>
      </c>
      <c r="J11" s="29" t="str">
        <f t="shared" si="2"/>
        <v>-</v>
      </c>
      <c r="K11" s="29" t="str">
        <f t="shared" si="2"/>
        <v>-</v>
      </c>
      <c r="L11" s="29" t="str">
        <f t="shared" si="2"/>
        <v>-</v>
      </c>
      <c r="M11" s="29" t="str">
        <f t="shared" si="2"/>
        <v>-</v>
      </c>
      <c r="N11" s="30" t="str">
        <f>IFERROR(AVERAGEIF(B11:M11,"&gt;0"),"-")</f>
        <v>-</v>
      </c>
    </row>
    <row r="12" spans="1:15" ht="18" customHeight="1" x14ac:dyDescent="0.25">
      <c r="A12" s="25" t="s">
        <v>57</v>
      </c>
      <c r="B12" s="29" t="str">
        <f t="shared" ref="B12:M12" si="3">IFERROR(IF(B6=0,"-",B10/B6-1),"-")</f>
        <v>-</v>
      </c>
      <c r="C12" s="29" t="str">
        <f t="shared" si="3"/>
        <v>-</v>
      </c>
      <c r="D12" s="29" t="str">
        <f t="shared" si="3"/>
        <v>-</v>
      </c>
      <c r="E12" s="29" t="str">
        <f t="shared" si="3"/>
        <v>-</v>
      </c>
      <c r="F12" s="29" t="str">
        <f t="shared" si="3"/>
        <v>-</v>
      </c>
      <c r="G12" s="29" t="str">
        <f t="shared" si="3"/>
        <v>-</v>
      </c>
      <c r="H12" s="29" t="str">
        <f t="shared" si="3"/>
        <v>-</v>
      </c>
      <c r="I12" s="29" t="str">
        <f t="shared" si="3"/>
        <v>-</v>
      </c>
      <c r="J12" s="29" t="str">
        <f t="shared" si="3"/>
        <v>-</v>
      </c>
      <c r="K12" s="29" t="str">
        <f t="shared" si="3"/>
        <v>-</v>
      </c>
      <c r="L12" s="29" t="str">
        <f t="shared" si="3"/>
        <v>-</v>
      </c>
      <c r="M12" s="29" t="str">
        <f t="shared" si="3"/>
        <v>-</v>
      </c>
      <c r="N12" s="30" t="str">
        <f>IFERROR(AVERAGEIF(B12:M12,"&gt;0"),"-")</f>
        <v>-</v>
      </c>
    </row>
    <row r="13" spans="1:15" ht="6" customHeight="1" x14ac:dyDescent="0.25"/>
    <row r="14" spans="1:15" ht="19.5" customHeight="1" x14ac:dyDescent="0.25">
      <c r="A14" s="109" t="s">
        <v>58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</row>
    <row r="15" spans="1:15" ht="18" customHeight="1" x14ac:dyDescent="0.25">
      <c r="A15" s="25" t="s">
        <v>59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>
        <f>IFERROR(SUM(B15:M15),"-")</f>
        <v>0</v>
      </c>
    </row>
    <row r="16" spans="1:15" ht="18" customHeight="1" x14ac:dyDescent="0.25">
      <c r="A16" s="25" t="s">
        <v>60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7">
        <f>IFERROR(SUM(B16:M16),"-")</f>
        <v>0</v>
      </c>
    </row>
    <row r="17" spans="1:15" ht="18" customHeight="1" x14ac:dyDescent="0.25">
      <c r="A17" s="25" t="s">
        <v>61</v>
      </c>
      <c r="B17" s="31" t="str">
        <f t="shared" ref="B17:M17" si="4">IFERROR(B15/B5,"-")</f>
        <v>-</v>
      </c>
      <c r="C17" s="31" t="str">
        <f t="shared" si="4"/>
        <v>-</v>
      </c>
      <c r="D17" s="31" t="str">
        <f t="shared" si="4"/>
        <v>-</v>
      </c>
      <c r="E17" s="31" t="str">
        <f t="shared" si="4"/>
        <v>-</v>
      </c>
      <c r="F17" s="31" t="str">
        <f t="shared" si="4"/>
        <v>-</v>
      </c>
      <c r="G17" s="31" t="str">
        <f t="shared" si="4"/>
        <v>-</v>
      </c>
      <c r="H17" s="31" t="str">
        <f t="shared" si="4"/>
        <v>-</v>
      </c>
      <c r="I17" s="31" t="str">
        <f t="shared" si="4"/>
        <v>-</v>
      </c>
      <c r="J17" s="31" t="str">
        <f t="shared" si="4"/>
        <v>-</v>
      </c>
      <c r="K17" s="31" t="str">
        <f t="shared" si="4"/>
        <v>-</v>
      </c>
      <c r="L17" s="31" t="str">
        <f t="shared" si="4"/>
        <v>-</v>
      </c>
      <c r="M17" s="31" t="str">
        <f t="shared" si="4"/>
        <v>-</v>
      </c>
      <c r="N17" s="32" t="str">
        <f>IFERROR(AVERAGEIF(B17:M17,"&gt;0"),"-")</f>
        <v>-</v>
      </c>
    </row>
    <row r="18" spans="1:15" ht="18" customHeight="1" x14ac:dyDescent="0.25">
      <c r="A18" s="25" t="s">
        <v>62</v>
      </c>
      <c r="B18" s="31" t="str">
        <f t="shared" ref="B18:M18" si="5">IFERROR(B16/B6,"-")</f>
        <v>-</v>
      </c>
      <c r="C18" s="31" t="str">
        <f t="shared" si="5"/>
        <v>-</v>
      </c>
      <c r="D18" s="31" t="str">
        <f t="shared" si="5"/>
        <v>-</v>
      </c>
      <c r="E18" s="31" t="str">
        <f t="shared" si="5"/>
        <v>-</v>
      </c>
      <c r="F18" s="31" t="str">
        <f t="shared" si="5"/>
        <v>-</v>
      </c>
      <c r="G18" s="31" t="str">
        <f t="shared" si="5"/>
        <v>-</v>
      </c>
      <c r="H18" s="31" t="str">
        <f t="shared" si="5"/>
        <v>-</v>
      </c>
      <c r="I18" s="31" t="str">
        <f t="shared" si="5"/>
        <v>-</v>
      </c>
      <c r="J18" s="31" t="str">
        <f t="shared" si="5"/>
        <v>-</v>
      </c>
      <c r="K18" s="31" t="str">
        <f t="shared" si="5"/>
        <v>-</v>
      </c>
      <c r="L18" s="31" t="str">
        <f t="shared" si="5"/>
        <v>-</v>
      </c>
      <c r="M18" s="31" t="str">
        <f t="shared" si="5"/>
        <v>-</v>
      </c>
      <c r="N18" s="32" t="str">
        <f>IFERROR(AVERAGEIF(B18:M18,"&gt;0"),"-")</f>
        <v>-</v>
      </c>
    </row>
    <row r="19" spans="1:15" ht="18" customHeight="1" x14ac:dyDescent="0.25">
      <c r="A19" s="25" t="s">
        <v>63</v>
      </c>
      <c r="B19" s="33" t="str">
        <f t="shared" ref="B19:M19" si="6">IFERROR(B6/B16,"-")</f>
        <v>-</v>
      </c>
      <c r="C19" s="33" t="str">
        <f t="shared" si="6"/>
        <v>-</v>
      </c>
      <c r="D19" s="33" t="str">
        <f t="shared" si="6"/>
        <v>-</v>
      </c>
      <c r="E19" s="33" t="str">
        <f t="shared" si="6"/>
        <v>-</v>
      </c>
      <c r="F19" s="33" t="str">
        <f t="shared" si="6"/>
        <v>-</v>
      </c>
      <c r="G19" s="33" t="str">
        <f t="shared" si="6"/>
        <v>-</v>
      </c>
      <c r="H19" s="33" t="str">
        <f t="shared" si="6"/>
        <v>-</v>
      </c>
      <c r="I19" s="33" t="str">
        <f t="shared" si="6"/>
        <v>-</v>
      </c>
      <c r="J19" s="33" t="str">
        <f t="shared" si="6"/>
        <v>-</v>
      </c>
      <c r="K19" s="33" t="str">
        <f t="shared" si="6"/>
        <v>-</v>
      </c>
      <c r="L19" s="33" t="str">
        <f t="shared" si="6"/>
        <v>-</v>
      </c>
      <c r="M19" s="33" t="str">
        <f t="shared" si="6"/>
        <v>-</v>
      </c>
      <c r="N19" s="34" t="str">
        <f>IFERROR(AVERAGEIF(B19:M19,"&gt;0"),"-")</f>
        <v>-</v>
      </c>
    </row>
    <row r="20" spans="1:15" ht="18" customHeight="1" x14ac:dyDescent="0.25">
      <c r="A20" s="25" t="s">
        <v>64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>
        <f>IFERROR(SUM(B20:M20),"-")</f>
        <v>0</v>
      </c>
    </row>
    <row r="21" spans="1:15" ht="18" customHeight="1" x14ac:dyDescent="0.25">
      <c r="A21" s="25" t="s">
        <v>65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7">
        <f>IFERROR(SUM(B21:M21),"-")</f>
        <v>0</v>
      </c>
    </row>
    <row r="22" spans="1:15" ht="18" customHeight="1" x14ac:dyDescent="0.25">
      <c r="A22" s="25" t="s">
        <v>66</v>
      </c>
      <c r="B22" s="31" t="str">
        <f t="shared" ref="B22:M22" si="7">IFERROR(B20/B9,"-")</f>
        <v>-</v>
      </c>
      <c r="C22" s="31" t="str">
        <f t="shared" si="7"/>
        <v>-</v>
      </c>
      <c r="D22" s="31" t="str">
        <f t="shared" si="7"/>
        <v>-</v>
      </c>
      <c r="E22" s="31" t="str">
        <f t="shared" si="7"/>
        <v>-</v>
      </c>
      <c r="F22" s="31" t="str">
        <f t="shared" si="7"/>
        <v>-</v>
      </c>
      <c r="G22" s="31" t="str">
        <f t="shared" si="7"/>
        <v>-</v>
      </c>
      <c r="H22" s="31" t="str">
        <f t="shared" si="7"/>
        <v>-</v>
      </c>
      <c r="I22" s="31" t="str">
        <f t="shared" si="7"/>
        <v>-</v>
      </c>
      <c r="J22" s="31" t="str">
        <f t="shared" si="7"/>
        <v>-</v>
      </c>
      <c r="K22" s="31" t="str">
        <f t="shared" si="7"/>
        <v>-</v>
      </c>
      <c r="L22" s="31" t="str">
        <f t="shared" si="7"/>
        <v>-</v>
      </c>
      <c r="M22" s="31" t="str">
        <f t="shared" si="7"/>
        <v>-</v>
      </c>
      <c r="N22" s="32" t="str">
        <f>IFERROR(AVERAGEIF(B22:M22,"&gt;0"),"-")</f>
        <v>-</v>
      </c>
    </row>
    <row r="23" spans="1:15" ht="18" customHeight="1" x14ac:dyDescent="0.25">
      <c r="A23" s="25" t="s">
        <v>67</v>
      </c>
      <c r="B23" s="31" t="str">
        <f t="shared" ref="B23:M23" si="8">IFERROR(B21/B10,"-")</f>
        <v>-</v>
      </c>
      <c r="C23" s="31" t="str">
        <f t="shared" si="8"/>
        <v>-</v>
      </c>
      <c r="D23" s="31" t="str">
        <f t="shared" si="8"/>
        <v>-</v>
      </c>
      <c r="E23" s="31" t="str">
        <f t="shared" si="8"/>
        <v>-</v>
      </c>
      <c r="F23" s="31" t="str">
        <f t="shared" si="8"/>
        <v>-</v>
      </c>
      <c r="G23" s="31" t="str">
        <f t="shared" si="8"/>
        <v>-</v>
      </c>
      <c r="H23" s="31" t="str">
        <f t="shared" si="8"/>
        <v>-</v>
      </c>
      <c r="I23" s="31" t="str">
        <f t="shared" si="8"/>
        <v>-</v>
      </c>
      <c r="J23" s="31" t="str">
        <f t="shared" si="8"/>
        <v>-</v>
      </c>
      <c r="K23" s="31" t="str">
        <f t="shared" si="8"/>
        <v>-</v>
      </c>
      <c r="L23" s="31" t="str">
        <f t="shared" si="8"/>
        <v>-</v>
      </c>
      <c r="M23" s="31" t="str">
        <f t="shared" si="8"/>
        <v>-</v>
      </c>
      <c r="N23" s="32" t="str">
        <f>IFERROR(AVERAGEIF(B23:M23,"&gt;0"),"-")</f>
        <v>-</v>
      </c>
    </row>
    <row r="24" spans="1:15" ht="18" customHeight="1" x14ac:dyDescent="0.25">
      <c r="A24" s="25" t="s">
        <v>68</v>
      </c>
      <c r="B24" s="33" t="str">
        <f t="shared" ref="B24:M24" si="9">IFERROR(B10/B21,"-")</f>
        <v>-</v>
      </c>
      <c r="C24" s="33" t="str">
        <f t="shared" si="9"/>
        <v>-</v>
      </c>
      <c r="D24" s="33" t="str">
        <f t="shared" si="9"/>
        <v>-</v>
      </c>
      <c r="E24" s="33" t="str">
        <f t="shared" si="9"/>
        <v>-</v>
      </c>
      <c r="F24" s="33" t="str">
        <f t="shared" si="9"/>
        <v>-</v>
      </c>
      <c r="G24" s="33" t="str">
        <f t="shared" si="9"/>
        <v>-</v>
      </c>
      <c r="H24" s="33" t="str">
        <f t="shared" si="9"/>
        <v>-</v>
      </c>
      <c r="I24" s="33" t="str">
        <f t="shared" si="9"/>
        <v>-</v>
      </c>
      <c r="J24" s="33" t="str">
        <f t="shared" si="9"/>
        <v>-</v>
      </c>
      <c r="K24" s="33" t="str">
        <f t="shared" si="9"/>
        <v>-</v>
      </c>
      <c r="L24" s="33" t="str">
        <f t="shared" si="9"/>
        <v>-</v>
      </c>
      <c r="M24" s="33" t="str">
        <f t="shared" si="9"/>
        <v>-</v>
      </c>
      <c r="N24" s="34" t="str">
        <f>IFERROR(AVERAGEIF(B24:M24,"&gt;0"),"-")</f>
        <v>-</v>
      </c>
    </row>
    <row r="25" spans="1:15" ht="6" customHeight="1" x14ac:dyDescent="0.25"/>
    <row r="26" spans="1:15" ht="19.5" customHeight="1" x14ac:dyDescent="0.25">
      <c r="A26" s="109" t="s">
        <v>69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5" ht="18" customHeight="1" x14ac:dyDescent="0.25">
      <c r="A27" s="35" t="s">
        <v>25</v>
      </c>
      <c r="B27" s="1" t="s">
        <v>6</v>
      </c>
      <c r="C27" s="1" t="s">
        <v>7</v>
      </c>
      <c r="D27" s="1" t="s">
        <v>8</v>
      </c>
      <c r="E27" s="1" t="s">
        <v>9</v>
      </c>
      <c r="F27" s="1" t="s">
        <v>10</v>
      </c>
      <c r="G27" s="1" t="s">
        <v>11</v>
      </c>
      <c r="H27" s="1" t="s">
        <v>12</v>
      </c>
      <c r="I27" s="1" t="s">
        <v>13</v>
      </c>
      <c r="J27" s="1" t="s">
        <v>14</v>
      </c>
      <c r="K27" s="1" t="s">
        <v>15</v>
      </c>
      <c r="L27" s="1" t="s">
        <v>16</v>
      </c>
      <c r="M27" s="1" t="s">
        <v>17</v>
      </c>
      <c r="N27" s="36" t="s">
        <v>18</v>
      </c>
      <c r="O27" s="1" t="s">
        <v>70</v>
      </c>
    </row>
    <row r="28" spans="1:15" ht="13.5" customHeight="1" x14ac:dyDescent="0.25">
      <c r="A28" s="37" t="s">
        <v>71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9" t="s">
        <v>72</v>
      </c>
    </row>
    <row r="29" spans="1:15" ht="18" customHeight="1" x14ac:dyDescent="0.25">
      <c r="A29" s="11" t="s">
        <v>28</v>
      </c>
      <c r="B29" s="40">
        <f>IFERROR(B9*O29,"-")</f>
        <v>0</v>
      </c>
      <c r="C29" s="40">
        <f>IFERROR(C9*O29,"-")</f>
        <v>0</v>
      </c>
      <c r="D29" s="40">
        <f>IFERROR(D9*O29,"-")</f>
        <v>0</v>
      </c>
      <c r="E29" s="40">
        <f>IFERROR(E9*O29,"-")</f>
        <v>0</v>
      </c>
      <c r="F29" s="40">
        <f>IFERROR(F9*O29,"-")</f>
        <v>0</v>
      </c>
      <c r="G29" s="40">
        <f>IFERROR(G9*O29,"-")</f>
        <v>0</v>
      </c>
      <c r="H29" s="40">
        <f>IFERROR(H9*O29,"-")</f>
        <v>0</v>
      </c>
      <c r="I29" s="40">
        <f>IFERROR(I9*O29,"-")</f>
        <v>0</v>
      </c>
      <c r="J29" s="40">
        <f>IFERROR(J9*O29,"-")</f>
        <v>0</v>
      </c>
      <c r="K29" s="40">
        <f>IFERROR(K9*O29,"-")</f>
        <v>0</v>
      </c>
      <c r="L29" s="40">
        <f>IFERROR(L9*O29,"-")</f>
        <v>0</v>
      </c>
      <c r="M29" s="40">
        <f>IFERROR(M9*O29,"-")</f>
        <v>0</v>
      </c>
      <c r="N29" s="27">
        <f>IFERROR(N9*O29,"-")</f>
        <v>0</v>
      </c>
      <c r="O29" s="12"/>
    </row>
    <row r="30" spans="1:15" ht="18" customHeight="1" x14ac:dyDescent="0.25">
      <c r="A30" s="14" t="s">
        <v>29</v>
      </c>
      <c r="B30" s="13">
        <f>IFERROR(B9*O30,"-")</f>
        <v>0</v>
      </c>
      <c r="C30" s="13">
        <f>IFERROR(C9*O30,"-")</f>
        <v>0</v>
      </c>
      <c r="D30" s="13">
        <f>IFERROR(D9*O30,"-")</f>
        <v>0</v>
      </c>
      <c r="E30" s="13">
        <f>IFERROR(E9*O30,"-")</f>
        <v>0</v>
      </c>
      <c r="F30" s="13">
        <f>IFERROR(F9*O30,"-")</f>
        <v>0</v>
      </c>
      <c r="G30" s="13">
        <f>IFERROR(G9*O30,"-")</f>
        <v>0</v>
      </c>
      <c r="H30" s="13">
        <f>IFERROR(H9*O30,"-")</f>
        <v>0</v>
      </c>
      <c r="I30" s="13">
        <f>IFERROR(I9*O30,"-")</f>
        <v>0</v>
      </c>
      <c r="J30" s="13">
        <f>IFERROR(J9*O30,"-")</f>
        <v>0</v>
      </c>
      <c r="K30" s="13">
        <f>IFERROR(K9*O30,"-")</f>
        <v>0</v>
      </c>
      <c r="L30" s="13">
        <f>IFERROR(L9*O30,"-")</f>
        <v>0</v>
      </c>
      <c r="M30" s="13">
        <f>IFERROR(M9*O30,"-")</f>
        <v>0</v>
      </c>
      <c r="N30" s="27">
        <f>IFERROR(N9*O30,"-")</f>
        <v>0</v>
      </c>
      <c r="O30" s="12"/>
    </row>
    <row r="31" spans="1:15" ht="18" customHeight="1" x14ac:dyDescent="0.25">
      <c r="A31" s="15" t="s">
        <v>30</v>
      </c>
      <c r="B31" s="40">
        <f>IFERROR(B9*O31,"-")</f>
        <v>0</v>
      </c>
      <c r="C31" s="40">
        <f>IFERROR(C9*O31,"-")</f>
        <v>0</v>
      </c>
      <c r="D31" s="40">
        <f>IFERROR(D9*O31,"-")</f>
        <v>0</v>
      </c>
      <c r="E31" s="40">
        <f>IFERROR(E9*O31,"-")</f>
        <v>0</v>
      </c>
      <c r="F31" s="40">
        <f>IFERROR(F9*O31,"-")</f>
        <v>0</v>
      </c>
      <c r="G31" s="40">
        <f>IFERROR(G9*O31,"-")</f>
        <v>0</v>
      </c>
      <c r="H31" s="40">
        <f>IFERROR(H9*O31,"-")</f>
        <v>0</v>
      </c>
      <c r="I31" s="40">
        <f>IFERROR(I9*O31,"-")</f>
        <v>0</v>
      </c>
      <c r="J31" s="40">
        <f>IFERROR(J9*O31,"-")</f>
        <v>0</v>
      </c>
      <c r="K31" s="40">
        <f>IFERROR(K9*O31,"-")</f>
        <v>0</v>
      </c>
      <c r="L31" s="40">
        <f>IFERROR(L9*O31,"-")</f>
        <v>0</v>
      </c>
      <c r="M31" s="40">
        <f>IFERROR(M9*O31,"-")</f>
        <v>0</v>
      </c>
      <c r="N31" s="27">
        <f>IFERROR(N9*O31,"-")</f>
        <v>0</v>
      </c>
      <c r="O31" s="12"/>
    </row>
    <row r="32" spans="1:15" ht="18" customHeight="1" x14ac:dyDescent="0.25">
      <c r="A32" s="16" t="s">
        <v>31</v>
      </c>
      <c r="B32" s="13">
        <f>IFERROR(B9*O32,"-")</f>
        <v>0</v>
      </c>
      <c r="C32" s="13">
        <f>IFERROR(C9*O32,"-")</f>
        <v>0</v>
      </c>
      <c r="D32" s="13">
        <f>IFERROR(D9*O32,"-")</f>
        <v>0</v>
      </c>
      <c r="E32" s="13">
        <f>IFERROR(E9*O32,"-")</f>
        <v>0</v>
      </c>
      <c r="F32" s="13">
        <f>IFERROR(F9*O32,"-")</f>
        <v>0</v>
      </c>
      <c r="G32" s="13">
        <f>IFERROR(G9*O32,"-")</f>
        <v>0</v>
      </c>
      <c r="H32" s="13">
        <f>IFERROR(H9*O32,"-")</f>
        <v>0</v>
      </c>
      <c r="I32" s="13">
        <f>IFERROR(I9*O32,"-")</f>
        <v>0</v>
      </c>
      <c r="J32" s="13">
        <f>IFERROR(J9*O32,"-")</f>
        <v>0</v>
      </c>
      <c r="K32" s="13">
        <f>IFERROR(K9*O32,"-")</f>
        <v>0</v>
      </c>
      <c r="L32" s="13">
        <f>IFERROR(L9*O32,"-")</f>
        <v>0</v>
      </c>
      <c r="M32" s="13">
        <f>IFERROR(M9*O32,"-")</f>
        <v>0</v>
      </c>
      <c r="N32" s="27">
        <f>IFERROR(N9*O32,"-")</f>
        <v>0</v>
      </c>
      <c r="O32" s="12"/>
    </row>
    <row r="33" spans="1:15" ht="18" customHeight="1" x14ac:dyDescent="0.25">
      <c r="A33" s="17" t="s">
        <v>32</v>
      </c>
      <c r="B33" s="40">
        <f>IFERROR(B9*O33,"-")</f>
        <v>0</v>
      </c>
      <c r="C33" s="40">
        <f>IFERROR(C9*O33,"-")</f>
        <v>0</v>
      </c>
      <c r="D33" s="40">
        <f>IFERROR(D9*O33,"-")</f>
        <v>0</v>
      </c>
      <c r="E33" s="40">
        <f>IFERROR(E9*O33,"-")</f>
        <v>0</v>
      </c>
      <c r="F33" s="40">
        <f>IFERROR(F9*O33,"-")</f>
        <v>0</v>
      </c>
      <c r="G33" s="40">
        <f>IFERROR(G9*O33,"-")</f>
        <v>0</v>
      </c>
      <c r="H33" s="40">
        <f>IFERROR(H9*O33,"-")</f>
        <v>0</v>
      </c>
      <c r="I33" s="40">
        <f>IFERROR(I9*O33,"-")</f>
        <v>0</v>
      </c>
      <c r="J33" s="40">
        <f>IFERROR(J9*O33,"-")</f>
        <v>0</v>
      </c>
      <c r="K33" s="40">
        <f>IFERROR(K9*O33,"-")</f>
        <v>0</v>
      </c>
      <c r="L33" s="40">
        <f>IFERROR(L9*O33,"-")</f>
        <v>0</v>
      </c>
      <c r="M33" s="40">
        <f>IFERROR(M9*O33,"-")</f>
        <v>0</v>
      </c>
      <c r="N33" s="27">
        <f>IFERROR(N9*O33,"-")</f>
        <v>0</v>
      </c>
      <c r="O33" s="12"/>
    </row>
  </sheetData>
  <mergeCells count="5">
    <mergeCell ref="A1:O1"/>
    <mergeCell ref="N2:N3"/>
    <mergeCell ref="A4:N4"/>
    <mergeCell ref="A14:N14"/>
    <mergeCell ref="A26:N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A951"/>
  </sheetPr>
  <dimension ref="A1:M10"/>
  <sheetViews>
    <sheetView showGridLines="0" zoomScale="9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8.7109375" defaultRowHeight="15" x14ac:dyDescent="0.25"/>
  <cols>
    <col min="1" max="1" width="20" customWidth="1"/>
    <col min="2" max="13" width="18" customWidth="1"/>
  </cols>
  <sheetData>
    <row r="1" spans="1:13" ht="18" x14ac:dyDescent="0.25">
      <c r="A1" s="104" t="s">
        <v>73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 x14ac:dyDescent="0.25">
      <c r="A2" s="41" t="s">
        <v>74</v>
      </c>
      <c r="B2" s="24" t="s">
        <v>6</v>
      </c>
      <c r="C2" s="24" t="s">
        <v>7</v>
      </c>
      <c r="D2" s="24" t="s">
        <v>8</v>
      </c>
      <c r="E2" s="24" t="s">
        <v>9</v>
      </c>
      <c r="F2" s="24" t="s">
        <v>10</v>
      </c>
      <c r="G2" s="24" t="s">
        <v>11</v>
      </c>
      <c r="H2" s="24" t="s">
        <v>12</v>
      </c>
      <c r="I2" s="22" t="s">
        <v>13</v>
      </c>
      <c r="J2" s="24" t="s">
        <v>14</v>
      </c>
      <c r="K2" s="24" t="s">
        <v>15</v>
      </c>
      <c r="L2" s="22" t="s">
        <v>16</v>
      </c>
      <c r="M2" s="22" t="s">
        <v>17</v>
      </c>
    </row>
    <row r="3" spans="1:13" x14ac:dyDescent="0.25">
      <c r="A3" s="42" t="s">
        <v>75</v>
      </c>
      <c r="B3" s="43">
        <f>IFERROR('📊 ANUAL MKTPLACES'!B4,"-")</f>
        <v>0</v>
      </c>
      <c r="C3" s="43">
        <f>IFERROR('📊 ANUAL MKTPLACES'!C4,"-")</f>
        <v>0</v>
      </c>
      <c r="D3" s="43">
        <f>IFERROR('📊 ANUAL MKTPLACES'!D4,"-")</f>
        <v>0</v>
      </c>
      <c r="E3" s="43">
        <f>IFERROR('📊 ANUAL MKTPLACES'!E4,"-")</f>
        <v>0</v>
      </c>
      <c r="F3" s="43">
        <f>IFERROR('📊 ANUAL MKTPLACES'!F4,"-")</f>
        <v>0</v>
      </c>
      <c r="G3" s="43">
        <f>IFERROR('📊 ANUAL MKTPLACES'!G4,"-")</f>
        <v>0</v>
      </c>
      <c r="H3" s="43">
        <f>IFERROR('📊 ANUAL MKTPLACES'!H4,"-")</f>
        <v>0</v>
      </c>
      <c r="I3" s="43">
        <f>IFERROR('📊 ANUAL MKTPLACES'!I4,"-")</f>
        <v>0</v>
      </c>
      <c r="J3" s="43">
        <f>IFERROR('📊 ANUAL MKTPLACES'!J4,"-")</f>
        <v>0</v>
      </c>
      <c r="K3" s="43">
        <f>IFERROR('📊 ANUAL MKTPLACES'!K4,"-")</f>
        <v>0</v>
      </c>
      <c r="L3" s="43">
        <f>IFERROR('📊 ANUAL MKTPLACES'!L4,"-")</f>
        <v>0</v>
      </c>
      <c r="M3" s="43">
        <f>IFERROR('📊 ANUAL MKTPLACES'!M4,"-")</f>
        <v>0</v>
      </c>
    </row>
    <row r="4" spans="1:13" ht="24" x14ac:dyDescent="0.25">
      <c r="A4" s="44" t="s">
        <v>76</v>
      </c>
      <c r="B4" s="45"/>
      <c r="C4" s="45"/>
      <c r="D4" s="45"/>
      <c r="E4" s="45" t="s">
        <v>77</v>
      </c>
      <c r="F4" s="45" t="s">
        <v>78</v>
      </c>
      <c r="G4" s="45" t="s">
        <v>79</v>
      </c>
      <c r="H4" s="45" t="s">
        <v>80</v>
      </c>
      <c r="I4" s="45" t="s">
        <v>81</v>
      </c>
      <c r="J4" s="45" t="s">
        <v>82</v>
      </c>
      <c r="K4" s="45" t="s">
        <v>83</v>
      </c>
      <c r="L4" s="45" t="s">
        <v>84</v>
      </c>
      <c r="M4" s="45" t="s">
        <v>85</v>
      </c>
    </row>
    <row r="5" spans="1:13" ht="24" x14ac:dyDescent="0.25">
      <c r="A5" s="46"/>
      <c r="B5" s="47"/>
      <c r="C5" s="47"/>
      <c r="D5" s="48"/>
      <c r="E5" s="48" t="s">
        <v>86</v>
      </c>
      <c r="F5" s="47" t="s">
        <v>87</v>
      </c>
      <c r="G5" s="48" t="s">
        <v>88</v>
      </c>
      <c r="H5" s="47" t="s">
        <v>89</v>
      </c>
      <c r="I5" s="48" t="s">
        <v>90</v>
      </c>
      <c r="J5" s="48" t="s">
        <v>91</v>
      </c>
      <c r="K5" s="48" t="s">
        <v>92</v>
      </c>
      <c r="L5" s="48" t="s">
        <v>93</v>
      </c>
      <c r="M5" s="48" t="s">
        <v>94</v>
      </c>
    </row>
    <row r="6" spans="1:13" ht="36" x14ac:dyDescent="0.25">
      <c r="A6" s="49"/>
      <c r="B6" s="45"/>
      <c r="C6" s="45"/>
      <c r="D6" s="45"/>
      <c r="E6" s="45" t="s">
        <v>95</v>
      </c>
      <c r="F6" s="48" t="s">
        <v>96</v>
      </c>
      <c r="G6" s="45" t="s">
        <v>97</v>
      </c>
      <c r="H6" s="48" t="s">
        <v>98</v>
      </c>
      <c r="I6" s="45" t="s">
        <v>99</v>
      </c>
      <c r="J6" s="45" t="s">
        <v>100</v>
      </c>
      <c r="K6" s="45" t="s">
        <v>101</v>
      </c>
      <c r="L6" s="45" t="s">
        <v>102</v>
      </c>
      <c r="M6" s="45" t="s">
        <v>103</v>
      </c>
    </row>
    <row r="7" spans="1:13" ht="24" x14ac:dyDescent="0.25">
      <c r="A7" s="46"/>
      <c r="B7" s="50"/>
      <c r="C7" s="50"/>
      <c r="D7" s="50"/>
      <c r="E7" s="47" t="s">
        <v>104</v>
      </c>
      <c r="F7" s="50"/>
      <c r="G7" s="50"/>
      <c r="H7" s="50"/>
      <c r="I7" s="50"/>
      <c r="J7" s="50"/>
      <c r="K7" s="50"/>
      <c r="L7" s="50"/>
      <c r="M7" s="50"/>
    </row>
    <row r="9" spans="1:13" x14ac:dyDescent="0.25">
      <c r="A9" s="123" t="s">
        <v>105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</row>
    <row r="10" spans="1:13" ht="48" x14ac:dyDescent="0.25">
      <c r="A10" s="3" t="s">
        <v>106</v>
      </c>
      <c r="B10" s="51"/>
      <c r="C10" s="51"/>
      <c r="D10" s="51"/>
      <c r="E10" s="51" t="s">
        <v>107</v>
      </c>
      <c r="F10" s="51" t="s">
        <v>108</v>
      </c>
      <c r="G10" s="51" t="s">
        <v>109</v>
      </c>
      <c r="H10" s="51" t="s">
        <v>110</v>
      </c>
      <c r="I10" s="52" t="s">
        <v>111</v>
      </c>
      <c r="J10" s="51" t="s">
        <v>112</v>
      </c>
      <c r="K10" s="51" t="s">
        <v>113</v>
      </c>
      <c r="L10" s="52" t="s">
        <v>114</v>
      </c>
      <c r="M10" s="52" t="s">
        <v>115</v>
      </c>
    </row>
  </sheetData>
  <mergeCells count="2">
    <mergeCell ref="A1:M1"/>
    <mergeCell ref="A9:M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N70"/>
  <sheetViews>
    <sheetView showGridLines="0" zoomScaleNormal="10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defaultColWidth="8.7109375" defaultRowHeight="15" x14ac:dyDescent="0.25"/>
  <cols>
    <col min="1" max="1" width="34" customWidth="1"/>
    <col min="2" max="13" width="11" customWidth="1"/>
    <col min="14" max="14" width="14" customWidth="1"/>
  </cols>
  <sheetData>
    <row r="1" spans="1:14" ht="36" customHeight="1" x14ac:dyDescent="0.25">
      <c r="A1" s="104" t="s">
        <v>116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15.75" customHeight="1" x14ac:dyDescent="0.25">
      <c r="A2" s="117" t="s">
        <v>117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3" spans="1:14" ht="19.5" customHeight="1" x14ac:dyDescent="0.25">
      <c r="A3" s="53" t="s">
        <v>118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2" t="s">
        <v>13</v>
      </c>
      <c r="J3" s="1" t="s">
        <v>14</v>
      </c>
      <c r="K3" s="1" t="s">
        <v>15</v>
      </c>
      <c r="L3" s="2" t="s">
        <v>16</v>
      </c>
      <c r="M3" s="2" t="s">
        <v>17</v>
      </c>
      <c r="N3" s="36" t="s">
        <v>18</v>
      </c>
    </row>
    <row r="4" spans="1:14" ht="19.5" customHeight="1" x14ac:dyDescent="0.25">
      <c r="A4" s="109" t="s">
        <v>119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8" customHeight="1" x14ac:dyDescent="0.25">
      <c r="A5" s="25" t="s">
        <v>50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>
        <f>IFERROR(SUM(B5:M5),"-")</f>
        <v>0</v>
      </c>
    </row>
    <row r="6" spans="1:14" ht="18" customHeight="1" x14ac:dyDescent="0.25">
      <c r="A6" s="25" t="s">
        <v>51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7">
        <f>IFERROR(SUM(B6:M6),"-")</f>
        <v>0</v>
      </c>
    </row>
    <row r="7" spans="1:14" ht="18" customHeight="1" x14ac:dyDescent="0.25">
      <c r="A7" s="25" t="s">
        <v>52</v>
      </c>
      <c r="B7" s="29" t="str">
        <f t="shared" ref="B7:M7" si="0">IFERROR(B6/B5,"-")</f>
        <v>-</v>
      </c>
      <c r="C7" s="29" t="str">
        <f t="shared" si="0"/>
        <v>-</v>
      </c>
      <c r="D7" s="29" t="str">
        <f t="shared" si="0"/>
        <v>-</v>
      </c>
      <c r="E7" s="29" t="str">
        <f t="shared" si="0"/>
        <v>-</v>
      </c>
      <c r="F7" s="29" t="str">
        <f t="shared" si="0"/>
        <v>-</v>
      </c>
      <c r="G7" s="29" t="str">
        <f t="shared" si="0"/>
        <v>-</v>
      </c>
      <c r="H7" s="29" t="str">
        <f t="shared" si="0"/>
        <v>-</v>
      </c>
      <c r="I7" s="29" t="str">
        <f t="shared" si="0"/>
        <v>-</v>
      </c>
      <c r="J7" s="29" t="str">
        <f t="shared" si="0"/>
        <v>-</v>
      </c>
      <c r="K7" s="29" t="str">
        <f t="shared" si="0"/>
        <v>-</v>
      </c>
      <c r="L7" s="29" t="str">
        <f t="shared" si="0"/>
        <v>-</v>
      </c>
      <c r="M7" s="29" t="str">
        <f t="shared" si="0"/>
        <v>-</v>
      </c>
      <c r="N7" s="30" t="str">
        <f>IFERROR(AVERAGEIF(B7:M7,"&gt;0"),"-")</f>
        <v>-</v>
      </c>
    </row>
    <row r="8" spans="1:14" ht="18" customHeight="1" x14ac:dyDescent="0.25">
      <c r="A8" s="25" t="s">
        <v>120</v>
      </c>
      <c r="B8" s="29" t="str">
        <f t="shared" ref="B8:M8" si="1">IFERROR("","")</f>
        <v/>
      </c>
      <c r="C8" s="29" t="str">
        <f t="shared" si="1"/>
        <v/>
      </c>
      <c r="D8" s="29" t="str">
        <f t="shared" si="1"/>
        <v/>
      </c>
      <c r="E8" s="29" t="str">
        <f t="shared" si="1"/>
        <v/>
      </c>
      <c r="F8" s="29" t="str">
        <f t="shared" si="1"/>
        <v/>
      </c>
      <c r="G8" s="29" t="str">
        <f t="shared" si="1"/>
        <v/>
      </c>
      <c r="H8" s="29" t="str">
        <f t="shared" si="1"/>
        <v/>
      </c>
      <c r="I8" s="29" t="str">
        <f t="shared" si="1"/>
        <v/>
      </c>
      <c r="J8" s="29" t="str">
        <f t="shared" si="1"/>
        <v/>
      </c>
      <c r="K8" s="29" t="str">
        <f t="shared" si="1"/>
        <v/>
      </c>
      <c r="L8" s="29" t="str">
        <f t="shared" si="1"/>
        <v/>
      </c>
      <c r="M8" s="29" t="str">
        <f t="shared" si="1"/>
        <v/>
      </c>
      <c r="N8" s="30" t="str">
        <f>IFERROR(AVERAGEIF(B8:M8,"&gt;0"),"-")</f>
        <v>-</v>
      </c>
    </row>
    <row r="9" spans="1:14" ht="18" customHeight="1" x14ac:dyDescent="0.25">
      <c r="A9" s="25" t="s">
        <v>54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>
        <f>IFERROR(SUM(B9:M9),"-")</f>
        <v>0</v>
      </c>
    </row>
    <row r="10" spans="1:14" ht="18" customHeight="1" x14ac:dyDescent="0.25">
      <c r="A10" s="25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7">
        <f>IFERROR(SUM(B10:M10),"-")</f>
        <v>0</v>
      </c>
    </row>
    <row r="11" spans="1:14" ht="18" customHeight="1" x14ac:dyDescent="0.25">
      <c r="A11" s="25" t="s">
        <v>56</v>
      </c>
      <c r="B11" s="29" t="str">
        <f t="shared" ref="B11:M11" si="2">IFERROR(B10/B9,"-")</f>
        <v>-</v>
      </c>
      <c r="C11" s="29" t="str">
        <f t="shared" si="2"/>
        <v>-</v>
      </c>
      <c r="D11" s="29" t="str">
        <f t="shared" si="2"/>
        <v>-</v>
      </c>
      <c r="E11" s="29" t="str">
        <f t="shared" si="2"/>
        <v>-</v>
      </c>
      <c r="F11" s="29" t="str">
        <f t="shared" si="2"/>
        <v>-</v>
      </c>
      <c r="G11" s="29" t="str">
        <f t="shared" si="2"/>
        <v>-</v>
      </c>
      <c r="H11" s="29" t="str">
        <f t="shared" si="2"/>
        <v>-</v>
      </c>
      <c r="I11" s="29" t="str">
        <f t="shared" si="2"/>
        <v>-</v>
      </c>
      <c r="J11" s="29" t="str">
        <f t="shared" si="2"/>
        <v>-</v>
      </c>
      <c r="K11" s="29" t="str">
        <f t="shared" si="2"/>
        <v>-</v>
      </c>
      <c r="L11" s="29" t="str">
        <f t="shared" si="2"/>
        <v>-</v>
      </c>
      <c r="M11" s="29" t="str">
        <f t="shared" si="2"/>
        <v>-</v>
      </c>
      <c r="N11" s="30" t="str">
        <f>IFERROR(AVERAGEIF(B11:M11,"&gt;0"),"-")</f>
        <v>-</v>
      </c>
    </row>
    <row r="12" spans="1:14" ht="18" customHeight="1" x14ac:dyDescent="0.25">
      <c r="A12" s="25" t="s">
        <v>57</v>
      </c>
      <c r="B12" s="29" t="str">
        <f t="shared" ref="B12:M12" si="3">IFERROR(IF(B6=0,"-",B10/B6-1),"-")</f>
        <v>-</v>
      </c>
      <c r="C12" s="29" t="str">
        <f t="shared" si="3"/>
        <v>-</v>
      </c>
      <c r="D12" s="29" t="str">
        <f t="shared" si="3"/>
        <v>-</v>
      </c>
      <c r="E12" s="29" t="str">
        <f t="shared" si="3"/>
        <v>-</v>
      </c>
      <c r="F12" s="29" t="str">
        <f t="shared" si="3"/>
        <v>-</v>
      </c>
      <c r="G12" s="29" t="str">
        <f t="shared" si="3"/>
        <v>-</v>
      </c>
      <c r="H12" s="29" t="str">
        <f t="shared" si="3"/>
        <v>-</v>
      </c>
      <c r="I12" s="29" t="str">
        <f t="shared" si="3"/>
        <v>-</v>
      </c>
      <c r="J12" s="29" t="str">
        <f t="shared" si="3"/>
        <v>-</v>
      </c>
      <c r="K12" s="29" t="str">
        <f t="shared" si="3"/>
        <v>-</v>
      </c>
      <c r="L12" s="29" t="str">
        <f t="shared" si="3"/>
        <v>-</v>
      </c>
      <c r="M12" s="29" t="str">
        <f t="shared" si="3"/>
        <v>-</v>
      </c>
      <c r="N12" s="30" t="str">
        <f>IFERROR(AVERAGEIF(B12:M12,"&gt;0"),"-")</f>
        <v>-</v>
      </c>
    </row>
    <row r="13" spans="1:14" ht="18" customHeight="1" x14ac:dyDescent="0.25">
      <c r="A13" s="25" t="s">
        <v>121</v>
      </c>
      <c r="B13" s="54">
        <f>SUM($B$5:B5)</f>
        <v>0</v>
      </c>
      <c r="C13" s="54">
        <f>SUM($B$5:C5)</f>
        <v>0</v>
      </c>
      <c r="D13" s="54">
        <f>SUM($B$5:D5)</f>
        <v>0</v>
      </c>
      <c r="E13" s="54">
        <f>SUM($B$5:E5)</f>
        <v>0</v>
      </c>
      <c r="F13" s="54">
        <f>SUM($B$5:F5)</f>
        <v>0</v>
      </c>
      <c r="G13" s="54">
        <f>SUM($B$5:G5)</f>
        <v>0</v>
      </c>
      <c r="H13" s="54">
        <f>SUM($B$5:H5)</f>
        <v>0</v>
      </c>
      <c r="I13" s="54">
        <f>SUM($B$5:I5)</f>
        <v>0</v>
      </c>
      <c r="J13" s="54">
        <f>SUM($B$5:J5)</f>
        <v>0</v>
      </c>
      <c r="K13" s="54">
        <f>SUM($B$5:K5)</f>
        <v>0</v>
      </c>
      <c r="L13" s="54">
        <f>SUM($B$5:L5)</f>
        <v>0</v>
      </c>
      <c r="M13" s="54">
        <f>SUM($B$5:M5)</f>
        <v>0</v>
      </c>
      <c r="N13" s="27">
        <f>SUM(B5:M5)</f>
        <v>0</v>
      </c>
    </row>
    <row r="14" spans="1:14" ht="18" customHeight="1" x14ac:dyDescent="0.25">
      <c r="A14" s="25" t="s">
        <v>122</v>
      </c>
      <c r="B14" s="54">
        <f>SUM($B$6:B6)</f>
        <v>0</v>
      </c>
      <c r="C14" s="54">
        <f>SUM($B$6:C6)</f>
        <v>0</v>
      </c>
      <c r="D14" s="54">
        <f>SUM($B$6:D6)</f>
        <v>0</v>
      </c>
      <c r="E14" s="54">
        <f>SUM($B$6:E6)</f>
        <v>0</v>
      </c>
      <c r="F14" s="54">
        <f>SUM($B$6:F6)</f>
        <v>0</v>
      </c>
      <c r="G14" s="54">
        <f>SUM($B$6:G6)</f>
        <v>0</v>
      </c>
      <c r="H14" s="54">
        <f>SUM($B$6:H6)</f>
        <v>0</v>
      </c>
      <c r="I14" s="54">
        <f>SUM($B$6:I6)</f>
        <v>0</v>
      </c>
      <c r="J14" s="54">
        <f>SUM($B$6:J6)</f>
        <v>0</v>
      </c>
      <c r="K14" s="54">
        <f>SUM($B$6:K6)</f>
        <v>0</v>
      </c>
      <c r="L14" s="54">
        <f>SUM($B$6:L6)</f>
        <v>0</v>
      </c>
      <c r="M14" s="54">
        <f>SUM($B$6:M6)</f>
        <v>0</v>
      </c>
      <c r="N14" s="27">
        <f>SUM(B6:M6)</f>
        <v>0</v>
      </c>
    </row>
    <row r="15" spans="1:14" ht="18" customHeight="1" x14ac:dyDescent="0.25">
      <c r="A15" s="25" t="s">
        <v>123</v>
      </c>
      <c r="B15" s="54">
        <f>SUM($B$9:B9)</f>
        <v>0</v>
      </c>
      <c r="C15" s="54">
        <f>SUM($B$9:C9)</f>
        <v>0</v>
      </c>
      <c r="D15" s="54">
        <f>SUM($B$9:D9)</f>
        <v>0</v>
      </c>
      <c r="E15" s="54">
        <f>SUM($B$9:E9)</f>
        <v>0</v>
      </c>
      <c r="F15" s="54">
        <f>SUM($B$9:F9)</f>
        <v>0</v>
      </c>
      <c r="G15" s="54">
        <f>SUM($B$9:G9)</f>
        <v>0</v>
      </c>
      <c r="H15" s="54">
        <f>SUM($B$9:H9)</f>
        <v>0</v>
      </c>
      <c r="I15" s="54">
        <f>SUM($B$9:I9)</f>
        <v>0</v>
      </c>
      <c r="J15" s="54">
        <f>SUM($B$9:J9)</f>
        <v>0</v>
      </c>
      <c r="K15" s="54">
        <f>SUM($B$9:K9)</f>
        <v>0</v>
      </c>
      <c r="L15" s="54">
        <f>SUM($B$9:L9)</f>
        <v>0</v>
      </c>
      <c r="M15" s="54">
        <f>SUM($B$9:M9)</f>
        <v>0</v>
      </c>
      <c r="N15" s="27">
        <f>SUM(B9:M9)</f>
        <v>0</v>
      </c>
    </row>
    <row r="16" spans="1:14" ht="18" customHeight="1" x14ac:dyDescent="0.25">
      <c r="A16" s="25" t="s">
        <v>124</v>
      </c>
      <c r="B16" s="54">
        <f>SUM($B$10:B10)</f>
        <v>0</v>
      </c>
      <c r="C16" s="54">
        <f>SUM($B$10:C10)</f>
        <v>0</v>
      </c>
      <c r="D16" s="54">
        <f>SUM($B$10:D10)</f>
        <v>0</v>
      </c>
      <c r="E16" s="54">
        <f>SUM($B$10:E10)</f>
        <v>0</v>
      </c>
      <c r="F16" s="54">
        <f>SUM($B$10:F10)</f>
        <v>0</v>
      </c>
      <c r="G16" s="54">
        <f>SUM($B$10:G10)</f>
        <v>0</v>
      </c>
      <c r="H16" s="54">
        <f>SUM($B$10:H10)</f>
        <v>0</v>
      </c>
      <c r="I16" s="54">
        <f>SUM($B$10:I10)</f>
        <v>0</v>
      </c>
      <c r="J16" s="54">
        <f>SUM($B$10:J10)</f>
        <v>0</v>
      </c>
      <c r="K16" s="54">
        <f>SUM($B$10:K10)</f>
        <v>0</v>
      </c>
      <c r="L16" s="54">
        <f>SUM($B$10:L10)</f>
        <v>0</v>
      </c>
      <c r="M16" s="54">
        <f>SUM($B$10:M10)</f>
        <v>0</v>
      </c>
      <c r="N16" s="27">
        <f>SUM(B10:M10)</f>
        <v>0</v>
      </c>
    </row>
    <row r="17" spans="1:14" ht="6" customHeight="1" x14ac:dyDescent="0.25"/>
    <row r="18" spans="1:14" ht="19.5" customHeight="1" x14ac:dyDescent="0.25">
      <c r="A18" s="109" t="s">
        <v>125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8" customHeight="1" x14ac:dyDescent="0.25">
      <c r="A19" s="25" t="s">
        <v>59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>
        <f>IFERROR(SUM(B19:M19),"-")</f>
        <v>0</v>
      </c>
    </row>
    <row r="20" spans="1:14" ht="18" customHeight="1" x14ac:dyDescent="0.25">
      <c r="A20" s="25" t="s">
        <v>60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7">
        <f>IFERROR(SUM(B20:M20),"-")</f>
        <v>0</v>
      </c>
    </row>
    <row r="21" spans="1:14" ht="18" customHeight="1" x14ac:dyDescent="0.25">
      <c r="A21" s="25" t="s">
        <v>61</v>
      </c>
      <c r="B21" s="31" t="str">
        <f t="shared" ref="B21:M21" si="4">IFERROR(B19/B5,"-")</f>
        <v>-</v>
      </c>
      <c r="C21" s="31" t="str">
        <f t="shared" si="4"/>
        <v>-</v>
      </c>
      <c r="D21" s="31" t="str">
        <f t="shared" si="4"/>
        <v>-</v>
      </c>
      <c r="E21" s="31" t="str">
        <f t="shared" si="4"/>
        <v>-</v>
      </c>
      <c r="F21" s="31" t="str">
        <f t="shared" si="4"/>
        <v>-</v>
      </c>
      <c r="G21" s="31" t="str">
        <f t="shared" si="4"/>
        <v>-</v>
      </c>
      <c r="H21" s="31" t="str">
        <f t="shared" si="4"/>
        <v>-</v>
      </c>
      <c r="I21" s="31" t="str">
        <f t="shared" si="4"/>
        <v>-</v>
      </c>
      <c r="J21" s="31" t="str">
        <f t="shared" si="4"/>
        <v>-</v>
      </c>
      <c r="K21" s="31" t="str">
        <f t="shared" si="4"/>
        <v>-</v>
      </c>
      <c r="L21" s="31" t="str">
        <f t="shared" si="4"/>
        <v>-</v>
      </c>
      <c r="M21" s="31" t="str">
        <f t="shared" si="4"/>
        <v>-</v>
      </c>
      <c r="N21" s="32" t="str">
        <f>IFERROR(AVERAGEIF(B21:M21,"&gt;0"),"-")</f>
        <v>-</v>
      </c>
    </row>
    <row r="22" spans="1:14" ht="18" customHeight="1" x14ac:dyDescent="0.25">
      <c r="A22" s="25" t="s">
        <v>62</v>
      </c>
      <c r="B22" s="31" t="str">
        <f t="shared" ref="B22:M22" si="5">IFERROR(B20/B6,"-")</f>
        <v>-</v>
      </c>
      <c r="C22" s="31" t="str">
        <f t="shared" si="5"/>
        <v>-</v>
      </c>
      <c r="D22" s="31" t="str">
        <f t="shared" si="5"/>
        <v>-</v>
      </c>
      <c r="E22" s="31" t="str">
        <f t="shared" si="5"/>
        <v>-</v>
      </c>
      <c r="F22" s="31" t="str">
        <f t="shared" si="5"/>
        <v>-</v>
      </c>
      <c r="G22" s="31" t="str">
        <f t="shared" si="5"/>
        <v>-</v>
      </c>
      <c r="H22" s="31" t="str">
        <f t="shared" si="5"/>
        <v>-</v>
      </c>
      <c r="I22" s="31" t="str">
        <f t="shared" si="5"/>
        <v>-</v>
      </c>
      <c r="J22" s="31" t="str">
        <f t="shared" si="5"/>
        <v>-</v>
      </c>
      <c r="K22" s="31" t="str">
        <f t="shared" si="5"/>
        <v>-</v>
      </c>
      <c r="L22" s="31" t="str">
        <f t="shared" si="5"/>
        <v>-</v>
      </c>
      <c r="M22" s="31" t="str">
        <f t="shared" si="5"/>
        <v>-</v>
      </c>
      <c r="N22" s="32" t="str">
        <f>IFERROR(AVERAGEIF(B22:M22,"&gt;0"),"-")</f>
        <v>-</v>
      </c>
    </row>
    <row r="23" spans="1:14" ht="18" customHeight="1" x14ac:dyDescent="0.25">
      <c r="A23" s="25" t="s">
        <v>63</v>
      </c>
      <c r="B23" s="33" t="str">
        <f t="shared" ref="B23:M23" si="6">IFERROR(B6/B20,"-")</f>
        <v>-</v>
      </c>
      <c r="C23" s="33" t="str">
        <f t="shared" si="6"/>
        <v>-</v>
      </c>
      <c r="D23" s="33" t="str">
        <f t="shared" si="6"/>
        <v>-</v>
      </c>
      <c r="E23" s="33" t="str">
        <f t="shared" si="6"/>
        <v>-</v>
      </c>
      <c r="F23" s="33" t="str">
        <f t="shared" si="6"/>
        <v>-</v>
      </c>
      <c r="G23" s="33" t="str">
        <f t="shared" si="6"/>
        <v>-</v>
      </c>
      <c r="H23" s="33" t="str">
        <f t="shared" si="6"/>
        <v>-</v>
      </c>
      <c r="I23" s="33" t="str">
        <f t="shared" si="6"/>
        <v>-</v>
      </c>
      <c r="J23" s="33" t="str">
        <f t="shared" si="6"/>
        <v>-</v>
      </c>
      <c r="K23" s="33" t="str">
        <f t="shared" si="6"/>
        <v>-</v>
      </c>
      <c r="L23" s="33" t="str">
        <f t="shared" si="6"/>
        <v>-</v>
      </c>
      <c r="M23" s="33" t="str">
        <f t="shared" si="6"/>
        <v>-</v>
      </c>
      <c r="N23" s="34" t="str">
        <f>IFERROR(AVERAGEIF(B23:M23,"&gt;0"),"-")</f>
        <v>-</v>
      </c>
    </row>
    <row r="24" spans="1:14" ht="18" customHeight="1" x14ac:dyDescent="0.25">
      <c r="A24" s="25" t="s">
        <v>64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>IFERROR(SUM(B24:M24),"-")</f>
        <v>0</v>
      </c>
    </row>
    <row r="25" spans="1:14" ht="18" customHeight="1" x14ac:dyDescent="0.25">
      <c r="A25" s="25" t="s">
        <v>65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7">
        <f>IFERROR(SUM(B25:M25),"-")</f>
        <v>0</v>
      </c>
    </row>
    <row r="26" spans="1:14" ht="18" customHeight="1" x14ac:dyDescent="0.25">
      <c r="A26" s="25" t="s">
        <v>66</v>
      </c>
      <c r="B26" s="31" t="str">
        <f t="shared" ref="B26:M26" si="7">IFERROR(B24/B9,"-")</f>
        <v>-</v>
      </c>
      <c r="C26" s="31" t="str">
        <f t="shared" si="7"/>
        <v>-</v>
      </c>
      <c r="D26" s="31" t="str">
        <f t="shared" si="7"/>
        <v>-</v>
      </c>
      <c r="E26" s="31" t="str">
        <f t="shared" si="7"/>
        <v>-</v>
      </c>
      <c r="F26" s="31" t="str">
        <f t="shared" si="7"/>
        <v>-</v>
      </c>
      <c r="G26" s="31" t="str">
        <f t="shared" si="7"/>
        <v>-</v>
      </c>
      <c r="H26" s="31" t="str">
        <f t="shared" si="7"/>
        <v>-</v>
      </c>
      <c r="I26" s="31" t="str">
        <f t="shared" si="7"/>
        <v>-</v>
      </c>
      <c r="J26" s="31" t="str">
        <f t="shared" si="7"/>
        <v>-</v>
      </c>
      <c r="K26" s="31" t="str">
        <f t="shared" si="7"/>
        <v>-</v>
      </c>
      <c r="L26" s="31" t="str">
        <f t="shared" si="7"/>
        <v>-</v>
      </c>
      <c r="M26" s="31" t="str">
        <f t="shared" si="7"/>
        <v>-</v>
      </c>
      <c r="N26" s="32" t="str">
        <f>IFERROR(AVERAGEIF(B26:M26,"&gt;0"),"-")</f>
        <v>-</v>
      </c>
    </row>
    <row r="27" spans="1:14" ht="18" customHeight="1" x14ac:dyDescent="0.25">
      <c r="A27" s="25" t="s">
        <v>67</v>
      </c>
      <c r="B27" s="31" t="str">
        <f t="shared" ref="B27:M27" si="8">IFERROR(B25/B10,"-")</f>
        <v>-</v>
      </c>
      <c r="C27" s="31" t="str">
        <f t="shared" si="8"/>
        <v>-</v>
      </c>
      <c r="D27" s="31" t="str">
        <f t="shared" si="8"/>
        <v>-</v>
      </c>
      <c r="E27" s="31" t="str">
        <f t="shared" si="8"/>
        <v>-</v>
      </c>
      <c r="F27" s="31" t="str">
        <f t="shared" si="8"/>
        <v>-</v>
      </c>
      <c r="G27" s="31" t="str">
        <f t="shared" si="8"/>
        <v>-</v>
      </c>
      <c r="H27" s="31" t="str">
        <f t="shared" si="8"/>
        <v>-</v>
      </c>
      <c r="I27" s="31" t="str">
        <f t="shared" si="8"/>
        <v>-</v>
      </c>
      <c r="J27" s="31" t="str">
        <f t="shared" si="8"/>
        <v>-</v>
      </c>
      <c r="K27" s="31" t="str">
        <f t="shared" si="8"/>
        <v>-</v>
      </c>
      <c r="L27" s="31" t="str">
        <f t="shared" si="8"/>
        <v>-</v>
      </c>
      <c r="M27" s="31" t="str">
        <f t="shared" si="8"/>
        <v>-</v>
      </c>
      <c r="N27" s="32" t="str">
        <f>IFERROR(AVERAGEIF(B27:M27,"&gt;0"),"-")</f>
        <v>-</v>
      </c>
    </row>
    <row r="28" spans="1:14" ht="18" customHeight="1" x14ac:dyDescent="0.25">
      <c r="A28" s="25" t="s">
        <v>68</v>
      </c>
      <c r="B28" s="33" t="str">
        <f t="shared" ref="B28:M28" si="9">IFERROR(B10/B25,"-")</f>
        <v>-</v>
      </c>
      <c r="C28" s="33" t="str">
        <f t="shared" si="9"/>
        <v>-</v>
      </c>
      <c r="D28" s="33" t="str">
        <f t="shared" si="9"/>
        <v>-</v>
      </c>
      <c r="E28" s="33" t="str">
        <f t="shared" si="9"/>
        <v>-</v>
      </c>
      <c r="F28" s="33" t="str">
        <f t="shared" si="9"/>
        <v>-</v>
      </c>
      <c r="G28" s="33" t="str">
        <f t="shared" si="9"/>
        <v>-</v>
      </c>
      <c r="H28" s="33" t="str">
        <f t="shared" si="9"/>
        <v>-</v>
      </c>
      <c r="I28" s="33" t="str">
        <f t="shared" si="9"/>
        <v>-</v>
      </c>
      <c r="J28" s="33" t="str">
        <f t="shared" si="9"/>
        <v>-</v>
      </c>
      <c r="K28" s="33" t="str">
        <f t="shared" si="9"/>
        <v>-</v>
      </c>
      <c r="L28" s="33" t="str">
        <f t="shared" si="9"/>
        <v>-</v>
      </c>
      <c r="M28" s="33" t="str">
        <f t="shared" si="9"/>
        <v>-</v>
      </c>
      <c r="N28" s="34" t="str">
        <f>IFERROR(AVERAGEIF(B28:M28,"&gt;0"),"-")</f>
        <v>-</v>
      </c>
    </row>
    <row r="29" spans="1:14" ht="6" customHeight="1" x14ac:dyDescent="0.25"/>
    <row r="30" spans="1:14" ht="19.5" customHeight="1" x14ac:dyDescent="0.25">
      <c r="A30" s="109" t="s">
        <v>126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8" customHeight="1" x14ac:dyDescent="0.25">
      <c r="A31" s="25" t="s">
        <v>127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7">
        <f>IFERROR(SUM(B31:M31),"-")</f>
        <v>0</v>
      </c>
    </row>
    <row r="32" spans="1:14" ht="18" customHeight="1" x14ac:dyDescent="0.25">
      <c r="A32" s="25" t="s">
        <v>128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7">
        <f>IFERROR(SUM(B32:M32),"-")</f>
        <v>0</v>
      </c>
    </row>
    <row r="33" spans="1:14" ht="18" customHeight="1" x14ac:dyDescent="0.25">
      <c r="A33" s="25" t="s">
        <v>129</v>
      </c>
      <c r="B33" s="29" t="str">
        <f t="shared" ref="B33:M33" si="10">IFERROR(B32/B31,"-")</f>
        <v>-</v>
      </c>
      <c r="C33" s="29" t="str">
        <f t="shared" si="10"/>
        <v>-</v>
      </c>
      <c r="D33" s="29" t="str">
        <f t="shared" si="10"/>
        <v>-</v>
      </c>
      <c r="E33" s="29" t="str">
        <f t="shared" si="10"/>
        <v>-</v>
      </c>
      <c r="F33" s="29" t="str">
        <f t="shared" si="10"/>
        <v>-</v>
      </c>
      <c r="G33" s="29" t="str">
        <f t="shared" si="10"/>
        <v>-</v>
      </c>
      <c r="H33" s="29" t="str">
        <f t="shared" si="10"/>
        <v>-</v>
      </c>
      <c r="I33" s="29" t="str">
        <f t="shared" si="10"/>
        <v>-</v>
      </c>
      <c r="J33" s="29" t="str">
        <f t="shared" si="10"/>
        <v>-</v>
      </c>
      <c r="K33" s="29" t="str">
        <f t="shared" si="10"/>
        <v>-</v>
      </c>
      <c r="L33" s="29" t="str">
        <f t="shared" si="10"/>
        <v>-</v>
      </c>
      <c r="M33" s="29" t="str">
        <f t="shared" si="10"/>
        <v>-</v>
      </c>
      <c r="N33" s="30" t="str">
        <f>IFERROR(AVERAGEIF(B33:M33,"&gt;0"),"-")</f>
        <v>-</v>
      </c>
    </row>
    <row r="34" spans="1:14" ht="18" customHeight="1" x14ac:dyDescent="0.25">
      <c r="A34" s="25" t="s">
        <v>130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7">
        <f>IFERROR(SUM(B34:M34),"-")</f>
        <v>0</v>
      </c>
    </row>
    <row r="35" spans="1:14" ht="18" customHeight="1" x14ac:dyDescent="0.25">
      <c r="A35" s="25" t="s">
        <v>131</v>
      </c>
      <c r="B35" s="31" t="str">
        <f t="shared" ref="B35:M35" si="11">IFERROR(B34/B32,"-")</f>
        <v>-</v>
      </c>
      <c r="C35" s="31" t="str">
        <f t="shared" si="11"/>
        <v>-</v>
      </c>
      <c r="D35" s="31" t="str">
        <f t="shared" si="11"/>
        <v>-</v>
      </c>
      <c r="E35" s="31" t="str">
        <f t="shared" si="11"/>
        <v>-</v>
      </c>
      <c r="F35" s="31" t="str">
        <f t="shared" si="11"/>
        <v>-</v>
      </c>
      <c r="G35" s="31" t="str">
        <f t="shared" si="11"/>
        <v>-</v>
      </c>
      <c r="H35" s="31" t="str">
        <f t="shared" si="11"/>
        <v>-</v>
      </c>
      <c r="I35" s="31" t="str">
        <f t="shared" si="11"/>
        <v>-</v>
      </c>
      <c r="J35" s="31" t="str">
        <f t="shared" si="11"/>
        <v>-</v>
      </c>
      <c r="K35" s="31" t="str">
        <f t="shared" si="11"/>
        <v>-</v>
      </c>
      <c r="L35" s="31" t="str">
        <f t="shared" si="11"/>
        <v>-</v>
      </c>
      <c r="M35" s="31" t="str">
        <f t="shared" si="11"/>
        <v>-</v>
      </c>
      <c r="N35" s="32" t="str">
        <f>IFERROR(AVERAGEIF(B35:M35,"&gt;0"),"-")</f>
        <v>-</v>
      </c>
    </row>
    <row r="36" spans="1:14" ht="18" customHeight="1" x14ac:dyDescent="0.25">
      <c r="A36" s="25" t="s">
        <v>132</v>
      </c>
      <c r="B36" s="55" t="str">
        <f t="shared" ref="B36:M36" si="12">IFERROR(B6/B34,"-")</f>
        <v>-</v>
      </c>
      <c r="C36" s="55" t="str">
        <f t="shared" si="12"/>
        <v>-</v>
      </c>
      <c r="D36" s="55" t="str">
        <f t="shared" si="12"/>
        <v>-</v>
      </c>
      <c r="E36" s="55" t="str">
        <f t="shared" si="12"/>
        <v>-</v>
      </c>
      <c r="F36" s="55" t="str">
        <f t="shared" si="12"/>
        <v>-</v>
      </c>
      <c r="G36" s="55" t="str">
        <f t="shared" si="12"/>
        <v>-</v>
      </c>
      <c r="H36" s="55" t="str">
        <f t="shared" si="12"/>
        <v>-</v>
      </c>
      <c r="I36" s="55" t="str">
        <f t="shared" si="12"/>
        <v>-</v>
      </c>
      <c r="J36" s="55" t="str">
        <f t="shared" si="12"/>
        <v>-</v>
      </c>
      <c r="K36" s="55" t="str">
        <f t="shared" si="12"/>
        <v>-</v>
      </c>
      <c r="L36" s="55" t="str">
        <f t="shared" si="12"/>
        <v>-</v>
      </c>
      <c r="M36" s="55" t="str">
        <f t="shared" si="12"/>
        <v>-</v>
      </c>
      <c r="N36" s="56" t="str">
        <f>IFERROR(AVERAGEIF(B36:M36,"&gt;0"),"-")</f>
        <v>-</v>
      </c>
    </row>
    <row r="37" spans="1:14" ht="6" customHeight="1" x14ac:dyDescent="0.25"/>
    <row r="38" spans="1:14" ht="19.5" customHeight="1" x14ac:dyDescent="0.25">
      <c r="A38" s="109" t="s">
        <v>133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8" customHeight="1" x14ac:dyDescent="0.25">
      <c r="A39" s="11" t="s">
        <v>28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7">
        <f t="shared" ref="N39:N44" si="13">IFERROR(SUM(B39:M39),"-")</f>
        <v>0</v>
      </c>
    </row>
    <row r="40" spans="1:14" ht="18" customHeight="1" x14ac:dyDescent="0.25">
      <c r="A40" s="14" t="s">
        <v>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7">
        <f t="shared" si="13"/>
        <v>0</v>
      </c>
    </row>
    <row r="41" spans="1:14" ht="18" customHeight="1" x14ac:dyDescent="0.25">
      <c r="A41" s="15" t="s">
        <v>30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7">
        <f t="shared" si="13"/>
        <v>0</v>
      </c>
    </row>
    <row r="42" spans="1:14" ht="18" customHeight="1" x14ac:dyDescent="0.25">
      <c r="A42" s="16" t="s">
        <v>31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7">
        <f t="shared" si="13"/>
        <v>0</v>
      </c>
    </row>
    <row r="43" spans="1:14" ht="18" customHeight="1" x14ac:dyDescent="0.25">
      <c r="A43" s="17" t="s">
        <v>32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7">
        <f t="shared" si="13"/>
        <v>0</v>
      </c>
    </row>
    <row r="44" spans="1:14" ht="18" customHeight="1" x14ac:dyDescent="0.25">
      <c r="A44" s="42" t="s">
        <v>134</v>
      </c>
      <c r="B44" s="57">
        <f t="shared" ref="B44:M44" si="14">IFERROR(SUM(B39:B43),"-")</f>
        <v>0</v>
      </c>
      <c r="C44" s="57">
        <f t="shared" si="14"/>
        <v>0</v>
      </c>
      <c r="D44" s="57">
        <f t="shared" si="14"/>
        <v>0</v>
      </c>
      <c r="E44" s="57">
        <f t="shared" si="14"/>
        <v>0</v>
      </c>
      <c r="F44" s="57">
        <f t="shared" si="14"/>
        <v>0</v>
      </c>
      <c r="G44" s="57">
        <f t="shared" si="14"/>
        <v>0</v>
      </c>
      <c r="H44" s="57">
        <f t="shared" si="14"/>
        <v>0</v>
      </c>
      <c r="I44" s="57">
        <f t="shared" si="14"/>
        <v>0</v>
      </c>
      <c r="J44" s="57">
        <f t="shared" si="14"/>
        <v>0</v>
      </c>
      <c r="K44" s="57">
        <f t="shared" si="14"/>
        <v>0</v>
      </c>
      <c r="L44" s="57">
        <f t="shared" si="14"/>
        <v>0</v>
      </c>
      <c r="M44" s="57">
        <f t="shared" si="14"/>
        <v>0</v>
      </c>
      <c r="N44" s="27">
        <f t="shared" si="13"/>
        <v>0</v>
      </c>
    </row>
    <row r="45" spans="1:14" ht="19.5" customHeight="1" x14ac:dyDescent="0.25">
      <c r="A45" s="109" t="s">
        <v>135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8" customHeight="1" x14ac:dyDescent="0.25">
      <c r="A46" s="25" t="s">
        <v>136</v>
      </c>
      <c r="B46" s="29" t="str">
        <f t="shared" ref="B46:N46" si="15">IFERROR(B39/B6,"-")</f>
        <v>-</v>
      </c>
      <c r="C46" s="29" t="str">
        <f t="shared" si="15"/>
        <v>-</v>
      </c>
      <c r="D46" s="29" t="str">
        <f t="shared" si="15"/>
        <v>-</v>
      </c>
      <c r="E46" s="29" t="str">
        <f t="shared" si="15"/>
        <v>-</v>
      </c>
      <c r="F46" s="29" t="str">
        <f t="shared" si="15"/>
        <v>-</v>
      </c>
      <c r="G46" s="29" t="str">
        <f t="shared" si="15"/>
        <v>-</v>
      </c>
      <c r="H46" s="29" t="str">
        <f t="shared" si="15"/>
        <v>-</v>
      </c>
      <c r="I46" s="29" t="str">
        <f t="shared" si="15"/>
        <v>-</v>
      </c>
      <c r="J46" s="29" t="str">
        <f t="shared" si="15"/>
        <v>-</v>
      </c>
      <c r="K46" s="29" t="str">
        <f t="shared" si="15"/>
        <v>-</v>
      </c>
      <c r="L46" s="29" t="str">
        <f t="shared" si="15"/>
        <v>-</v>
      </c>
      <c r="M46" s="29" t="str">
        <f t="shared" si="15"/>
        <v>-</v>
      </c>
      <c r="N46" s="30" t="str">
        <f t="shared" si="15"/>
        <v>-</v>
      </c>
    </row>
    <row r="47" spans="1:14" ht="18" customHeight="1" x14ac:dyDescent="0.25">
      <c r="A47" s="25" t="s">
        <v>137</v>
      </c>
      <c r="B47" s="29" t="str">
        <f t="shared" ref="B47:N47" si="16">IFERROR(B40/B6,"-")</f>
        <v>-</v>
      </c>
      <c r="C47" s="29" t="str">
        <f t="shared" si="16"/>
        <v>-</v>
      </c>
      <c r="D47" s="29" t="str">
        <f t="shared" si="16"/>
        <v>-</v>
      </c>
      <c r="E47" s="29" t="str">
        <f t="shared" si="16"/>
        <v>-</v>
      </c>
      <c r="F47" s="29" t="str">
        <f t="shared" si="16"/>
        <v>-</v>
      </c>
      <c r="G47" s="29" t="str">
        <f t="shared" si="16"/>
        <v>-</v>
      </c>
      <c r="H47" s="29" t="str">
        <f t="shared" si="16"/>
        <v>-</v>
      </c>
      <c r="I47" s="29" t="str">
        <f t="shared" si="16"/>
        <v>-</v>
      </c>
      <c r="J47" s="29" t="str">
        <f t="shared" si="16"/>
        <v>-</v>
      </c>
      <c r="K47" s="29" t="str">
        <f t="shared" si="16"/>
        <v>-</v>
      </c>
      <c r="L47" s="29" t="str">
        <f t="shared" si="16"/>
        <v>-</v>
      </c>
      <c r="M47" s="29" t="str">
        <f t="shared" si="16"/>
        <v>-</v>
      </c>
      <c r="N47" s="30" t="str">
        <f t="shared" si="16"/>
        <v>-</v>
      </c>
    </row>
    <row r="48" spans="1:14" ht="18" customHeight="1" x14ac:dyDescent="0.25">
      <c r="A48" s="25" t="s">
        <v>138</v>
      </c>
      <c r="B48" s="29" t="str">
        <f t="shared" ref="B48:N48" si="17">IFERROR(B41/B6,"-")</f>
        <v>-</v>
      </c>
      <c r="C48" s="29" t="str">
        <f t="shared" si="17"/>
        <v>-</v>
      </c>
      <c r="D48" s="29" t="str">
        <f t="shared" si="17"/>
        <v>-</v>
      </c>
      <c r="E48" s="29" t="str">
        <f t="shared" si="17"/>
        <v>-</v>
      </c>
      <c r="F48" s="29" t="str">
        <f t="shared" si="17"/>
        <v>-</v>
      </c>
      <c r="G48" s="29" t="str">
        <f t="shared" si="17"/>
        <v>-</v>
      </c>
      <c r="H48" s="29" t="str">
        <f t="shared" si="17"/>
        <v>-</v>
      </c>
      <c r="I48" s="29" t="str">
        <f t="shared" si="17"/>
        <v>-</v>
      </c>
      <c r="J48" s="29" t="str">
        <f t="shared" si="17"/>
        <v>-</v>
      </c>
      <c r="K48" s="29" t="str">
        <f t="shared" si="17"/>
        <v>-</v>
      </c>
      <c r="L48" s="29" t="str">
        <f t="shared" si="17"/>
        <v>-</v>
      </c>
      <c r="M48" s="29" t="str">
        <f t="shared" si="17"/>
        <v>-</v>
      </c>
      <c r="N48" s="30" t="str">
        <f t="shared" si="17"/>
        <v>-</v>
      </c>
    </row>
    <row r="49" spans="1:14" ht="18" customHeight="1" x14ac:dyDescent="0.25">
      <c r="A49" s="25" t="s">
        <v>139</v>
      </c>
      <c r="B49" s="29" t="str">
        <f t="shared" ref="B49:N49" si="18">IFERROR(B42/B6,"-")</f>
        <v>-</v>
      </c>
      <c r="C49" s="29" t="str">
        <f t="shared" si="18"/>
        <v>-</v>
      </c>
      <c r="D49" s="29" t="str">
        <f t="shared" si="18"/>
        <v>-</v>
      </c>
      <c r="E49" s="29" t="str">
        <f t="shared" si="18"/>
        <v>-</v>
      </c>
      <c r="F49" s="29" t="str">
        <f t="shared" si="18"/>
        <v>-</v>
      </c>
      <c r="G49" s="29" t="str">
        <f t="shared" si="18"/>
        <v>-</v>
      </c>
      <c r="H49" s="29" t="str">
        <f t="shared" si="18"/>
        <v>-</v>
      </c>
      <c r="I49" s="29" t="str">
        <f t="shared" si="18"/>
        <v>-</v>
      </c>
      <c r="J49" s="29" t="str">
        <f t="shared" si="18"/>
        <v>-</v>
      </c>
      <c r="K49" s="29" t="str">
        <f t="shared" si="18"/>
        <v>-</v>
      </c>
      <c r="L49" s="29" t="str">
        <f t="shared" si="18"/>
        <v>-</v>
      </c>
      <c r="M49" s="29" t="str">
        <f t="shared" si="18"/>
        <v>-</v>
      </c>
      <c r="N49" s="30" t="str">
        <f t="shared" si="18"/>
        <v>-</v>
      </c>
    </row>
    <row r="50" spans="1:14" ht="18" customHeight="1" x14ac:dyDescent="0.25">
      <c r="A50" s="25" t="s">
        <v>140</v>
      </c>
      <c r="B50" s="29" t="str">
        <f t="shared" ref="B50:N50" si="19">IFERROR(B43/B6,"-")</f>
        <v>-</v>
      </c>
      <c r="C50" s="29" t="str">
        <f t="shared" si="19"/>
        <v>-</v>
      </c>
      <c r="D50" s="29" t="str">
        <f t="shared" si="19"/>
        <v>-</v>
      </c>
      <c r="E50" s="29" t="str">
        <f t="shared" si="19"/>
        <v>-</v>
      </c>
      <c r="F50" s="29" t="str">
        <f t="shared" si="19"/>
        <v>-</v>
      </c>
      <c r="G50" s="29" t="str">
        <f t="shared" si="19"/>
        <v>-</v>
      </c>
      <c r="H50" s="29" t="str">
        <f t="shared" si="19"/>
        <v>-</v>
      </c>
      <c r="I50" s="29" t="str">
        <f t="shared" si="19"/>
        <v>-</v>
      </c>
      <c r="J50" s="29" t="str">
        <f t="shared" si="19"/>
        <v>-</v>
      </c>
      <c r="K50" s="29" t="str">
        <f t="shared" si="19"/>
        <v>-</v>
      </c>
      <c r="L50" s="29" t="str">
        <f t="shared" si="19"/>
        <v>-</v>
      </c>
      <c r="M50" s="29" t="str">
        <f t="shared" si="19"/>
        <v>-</v>
      </c>
      <c r="N50" s="30" t="str">
        <f t="shared" si="19"/>
        <v>-</v>
      </c>
    </row>
    <row r="51" spans="1:14" ht="6" customHeight="1" x14ac:dyDescent="0.25"/>
    <row r="52" spans="1:14" ht="19.5" customHeight="1" x14ac:dyDescent="0.25">
      <c r="A52" s="109" t="s">
        <v>141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8" customHeight="1" x14ac:dyDescent="0.25">
      <c r="A53" s="58" t="s">
        <v>142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27">
        <f>IFERROR(SUM(B53:M53),"-")</f>
        <v>0</v>
      </c>
    </row>
    <row r="54" spans="1:14" ht="18" customHeight="1" x14ac:dyDescent="0.25">
      <c r="A54" s="60" t="s">
        <v>143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27">
        <f>IFERROR(SUM(B54:M54),"-")</f>
        <v>0</v>
      </c>
    </row>
    <row r="55" spans="1:14" ht="18" customHeight="1" x14ac:dyDescent="0.25">
      <c r="A55" s="61" t="s">
        <v>144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27">
        <f>IFERROR(SUM(B55:M55),"-")</f>
        <v>0</v>
      </c>
    </row>
    <row r="56" spans="1:14" ht="18" customHeight="1" x14ac:dyDescent="0.25">
      <c r="A56" s="62" t="s">
        <v>145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27">
        <f>IFERROR(SUM(B56:M56),"-")</f>
        <v>0</v>
      </c>
    </row>
    <row r="57" spans="1:14" ht="6" customHeight="1" x14ac:dyDescent="0.25"/>
    <row r="58" spans="1:14" ht="19.5" customHeight="1" x14ac:dyDescent="0.25">
      <c r="A58" s="109" t="s">
        <v>146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</row>
    <row r="59" spans="1:14" ht="15.75" customHeight="1" x14ac:dyDescent="0.25">
      <c r="A59" s="25" t="s">
        <v>147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27">
        <f t="shared" ref="N59:N70" si="20">IFERROR(SUM(B59:M59),"-")</f>
        <v>0</v>
      </c>
    </row>
    <row r="60" spans="1:14" ht="15.75" customHeight="1" x14ac:dyDescent="0.25">
      <c r="A60" s="63" t="s">
        <v>148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27">
        <f t="shared" si="20"/>
        <v>0</v>
      </c>
    </row>
    <row r="61" spans="1:14" ht="15.75" customHeight="1" x14ac:dyDescent="0.25">
      <c r="A61" s="25" t="s">
        <v>149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27">
        <f t="shared" si="20"/>
        <v>0</v>
      </c>
    </row>
    <row r="62" spans="1:14" ht="15.75" customHeight="1" x14ac:dyDescent="0.25">
      <c r="A62" s="63" t="s">
        <v>150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27">
        <f t="shared" si="20"/>
        <v>0</v>
      </c>
    </row>
    <row r="63" spans="1:14" ht="15.75" customHeight="1" x14ac:dyDescent="0.25">
      <c r="A63" s="25" t="s">
        <v>151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27">
        <f t="shared" si="20"/>
        <v>0</v>
      </c>
    </row>
    <row r="64" spans="1:14" ht="15.75" customHeight="1" x14ac:dyDescent="0.25">
      <c r="A64" s="63" t="s">
        <v>152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27">
        <f t="shared" si="20"/>
        <v>0</v>
      </c>
    </row>
    <row r="65" spans="1:14" ht="15.75" customHeight="1" x14ac:dyDescent="0.25">
      <c r="A65" s="25" t="s">
        <v>153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27">
        <f t="shared" si="20"/>
        <v>0</v>
      </c>
    </row>
    <row r="66" spans="1:14" ht="15.75" customHeight="1" x14ac:dyDescent="0.25">
      <c r="A66" s="63" t="s">
        <v>154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27">
        <f t="shared" si="20"/>
        <v>0</v>
      </c>
    </row>
    <row r="67" spans="1:14" ht="15.75" customHeight="1" x14ac:dyDescent="0.25">
      <c r="A67" s="25" t="s">
        <v>155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27">
        <f t="shared" si="20"/>
        <v>0</v>
      </c>
    </row>
    <row r="68" spans="1:14" ht="15.75" customHeight="1" x14ac:dyDescent="0.25">
      <c r="A68" s="63" t="s">
        <v>156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27">
        <f t="shared" si="20"/>
        <v>0</v>
      </c>
    </row>
    <row r="69" spans="1:14" ht="15.75" customHeight="1" x14ac:dyDescent="0.25">
      <c r="A69" s="25" t="s">
        <v>157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27">
        <f t="shared" si="20"/>
        <v>0</v>
      </c>
    </row>
    <row r="70" spans="1:14" ht="15.75" customHeight="1" x14ac:dyDescent="0.25">
      <c r="A70" s="63" t="s">
        <v>158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27">
        <f t="shared" si="20"/>
        <v>0</v>
      </c>
    </row>
  </sheetData>
  <mergeCells count="9">
    <mergeCell ref="A38:N38"/>
    <mergeCell ref="A45:N45"/>
    <mergeCell ref="A52:N52"/>
    <mergeCell ref="A58:N58"/>
    <mergeCell ref="A1:N1"/>
    <mergeCell ref="A2:N2"/>
    <mergeCell ref="A4:N4"/>
    <mergeCell ref="A18:N18"/>
    <mergeCell ref="A30:N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200"/>
  </sheetPr>
  <dimension ref="A1:N67"/>
  <sheetViews>
    <sheetView showGridLines="0" tabSelected="1" zoomScaleNormal="100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E15" sqref="E15"/>
    </sheetView>
  </sheetViews>
  <sheetFormatPr defaultColWidth="8.7109375" defaultRowHeight="15" x14ac:dyDescent="0.25"/>
  <cols>
    <col min="1" max="1" width="28" customWidth="1"/>
    <col min="2" max="13" width="11" customWidth="1"/>
    <col min="14" max="14" width="13" customWidth="1"/>
  </cols>
  <sheetData>
    <row r="1" spans="1:14" ht="36" customHeight="1" x14ac:dyDescent="0.25">
      <c r="A1" s="104" t="s">
        <v>159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3" spans="1:14" ht="27.75" customHeight="1" x14ac:dyDescent="0.25">
      <c r="A3" s="105" t="s">
        <v>160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8" customHeight="1" x14ac:dyDescent="0.25">
      <c r="A4" s="53" t="s">
        <v>118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2" t="s">
        <v>13</v>
      </c>
      <c r="J4" s="1" t="s">
        <v>14</v>
      </c>
      <c r="K4" s="1" t="s">
        <v>15</v>
      </c>
      <c r="L4" s="2" t="s">
        <v>16</v>
      </c>
      <c r="M4" s="2" t="s">
        <v>17</v>
      </c>
      <c r="N4" s="36" t="s">
        <v>18</v>
      </c>
    </row>
    <row r="5" spans="1:14" ht="15.75" customHeight="1" x14ac:dyDescent="0.25">
      <c r="A5" s="46" t="s">
        <v>50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5">
        <f>IFERROR(SUM(B5:M5),"-")</f>
        <v>0</v>
      </c>
    </row>
    <row r="6" spans="1:14" ht="15.75" customHeight="1" x14ac:dyDescent="0.25">
      <c r="A6" s="46" t="s">
        <v>51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>
        <f>IFERROR(SUM(B6:M6),"-")</f>
        <v>0</v>
      </c>
    </row>
    <row r="7" spans="1:14" ht="15.75" customHeight="1" x14ac:dyDescent="0.25">
      <c r="A7" s="46" t="s">
        <v>54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5">
        <f>IFERROR(SUM(B7:M7),"-")</f>
        <v>0</v>
      </c>
    </row>
    <row r="8" spans="1:14" ht="15.75" customHeight="1" x14ac:dyDescent="0.25">
      <c r="A8" s="46" t="s">
        <v>55</v>
      </c>
      <c r="B8" s="65"/>
      <c r="C8" s="65">
        <v>50602</v>
      </c>
      <c r="D8" s="65">
        <v>60148</v>
      </c>
      <c r="E8" s="65">
        <v>120000</v>
      </c>
      <c r="F8" s="65"/>
      <c r="G8" s="65"/>
      <c r="H8" s="65"/>
      <c r="I8" s="65"/>
      <c r="J8" s="65"/>
      <c r="K8" s="65"/>
      <c r="L8" s="65"/>
      <c r="M8" s="65"/>
      <c r="N8" s="5">
        <f>IFERROR(SUM(B8:M8),"-")</f>
        <v>230750</v>
      </c>
    </row>
    <row r="9" spans="1:14" ht="15.75" customHeight="1" x14ac:dyDescent="0.25">
      <c r="A9" s="46" t="s">
        <v>161</v>
      </c>
      <c r="B9" s="7" t="str">
        <f t="shared" ref="B9:N9" si="0">IFERROR(B6/B5,"-")</f>
        <v>-</v>
      </c>
      <c r="C9" s="7" t="str">
        <f t="shared" si="0"/>
        <v>-</v>
      </c>
      <c r="D9" s="7" t="str">
        <f t="shared" si="0"/>
        <v>-</v>
      </c>
      <c r="E9" s="7" t="str">
        <f t="shared" si="0"/>
        <v>-</v>
      </c>
      <c r="F9" s="7" t="str">
        <f t="shared" si="0"/>
        <v>-</v>
      </c>
      <c r="G9" s="7" t="str">
        <f t="shared" si="0"/>
        <v>-</v>
      </c>
      <c r="H9" s="7" t="str">
        <f t="shared" si="0"/>
        <v>-</v>
      </c>
      <c r="I9" s="7" t="str">
        <f t="shared" si="0"/>
        <v>-</v>
      </c>
      <c r="J9" s="7" t="str">
        <f t="shared" si="0"/>
        <v>-</v>
      </c>
      <c r="K9" s="7" t="str">
        <f t="shared" si="0"/>
        <v>-</v>
      </c>
      <c r="L9" s="7" t="str">
        <f t="shared" si="0"/>
        <v>-</v>
      </c>
      <c r="M9" s="7" t="str">
        <f t="shared" si="0"/>
        <v>-</v>
      </c>
      <c r="N9" s="8" t="str">
        <f t="shared" si="0"/>
        <v>-</v>
      </c>
    </row>
    <row r="10" spans="1:14" ht="15.75" customHeight="1" x14ac:dyDescent="0.25">
      <c r="A10" s="46" t="s">
        <v>162</v>
      </c>
      <c r="B10" s="65"/>
      <c r="C10" s="65">
        <v>2259</v>
      </c>
      <c r="D10" s="65">
        <v>3042</v>
      </c>
      <c r="E10" s="65">
        <v>3042</v>
      </c>
      <c r="F10" s="65"/>
      <c r="G10" s="65"/>
      <c r="H10" s="65"/>
      <c r="I10" s="65"/>
      <c r="J10" s="65"/>
      <c r="K10" s="65"/>
      <c r="L10" s="65"/>
      <c r="M10" s="65"/>
      <c r="N10" s="5">
        <f>IFERROR(SUM(B10:M10),"-")</f>
        <v>8343</v>
      </c>
    </row>
    <row r="11" spans="1:14" ht="15.75" customHeight="1" x14ac:dyDescent="0.25">
      <c r="A11" s="46" t="s">
        <v>163</v>
      </c>
      <c r="B11" s="9" t="str">
        <f t="shared" ref="B11:N11" si="1">IFERROR(B10/B6,"-")</f>
        <v>-</v>
      </c>
      <c r="C11" s="9">
        <f>IFERROR(C10/C8,"-")</f>
        <v>4.4642504248843917E-2</v>
      </c>
      <c r="D11" s="9">
        <f>IFERROR(D10/D8,"-")</f>
        <v>5.0575247722285027E-2</v>
      </c>
      <c r="E11" s="9">
        <f>IFERROR(E10/E8,"-")</f>
        <v>2.5350000000000001E-2</v>
      </c>
      <c r="F11" s="9" t="str">
        <f t="shared" si="1"/>
        <v>-</v>
      </c>
      <c r="G11" s="9" t="str">
        <f t="shared" si="1"/>
        <v>-</v>
      </c>
      <c r="H11" s="9" t="str">
        <f t="shared" si="1"/>
        <v>-</v>
      </c>
      <c r="I11" s="9" t="str">
        <f t="shared" si="1"/>
        <v>-</v>
      </c>
      <c r="J11" s="9" t="str">
        <f t="shared" si="1"/>
        <v>-</v>
      </c>
      <c r="K11" s="9" t="str">
        <f t="shared" si="1"/>
        <v>-</v>
      </c>
      <c r="L11" s="9" t="str">
        <f t="shared" si="1"/>
        <v>-</v>
      </c>
      <c r="M11" s="9" t="str">
        <f t="shared" si="1"/>
        <v>-</v>
      </c>
      <c r="N11" s="10" t="str">
        <f t="shared" si="1"/>
        <v>-</v>
      </c>
    </row>
    <row r="12" spans="1:14" ht="15.75" customHeight="1" x14ac:dyDescent="0.25">
      <c r="A12" s="46" t="s">
        <v>164</v>
      </c>
      <c r="B12" s="66" t="str">
        <f t="shared" ref="B12:N12" si="2">IFERROR(B6/B10,"-")</f>
        <v>-</v>
      </c>
      <c r="C12" s="66">
        <f>IFERROR(C8/C10,"-")</f>
        <v>22.400177069499779</v>
      </c>
      <c r="D12" s="66">
        <f>IFERROR(D8/D10,"-")</f>
        <v>19.772518080210389</v>
      </c>
      <c r="E12" s="66">
        <f>IFERROR(E8/E10,"-")</f>
        <v>39.447731755424066</v>
      </c>
      <c r="F12" s="66" t="str">
        <f t="shared" si="2"/>
        <v>-</v>
      </c>
      <c r="G12" s="66" t="str">
        <f t="shared" si="2"/>
        <v>-</v>
      </c>
      <c r="H12" s="66" t="str">
        <f t="shared" si="2"/>
        <v>-</v>
      </c>
      <c r="I12" s="66" t="str">
        <f t="shared" si="2"/>
        <v>-</v>
      </c>
      <c r="J12" s="66" t="str">
        <f t="shared" si="2"/>
        <v>-</v>
      </c>
      <c r="K12" s="66" t="str">
        <f t="shared" si="2"/>
        <v>-</v>
      </c>
      <c r="L12" s="66" t="str">
        <f t="shared" si="2"/>
        <v>-</v>
      </c>
      <c r="M12" s="66" t="str">
        <f t="shared" si="2"/>
        <v>-</v>
      </c>
      <c r="N12" s="67">
        <f t="shared" si="2"/>
        <v>0</v>
      </c>
    </row>
    <row r="13" spans="1:14" ht="15.75" customHeight="1" x14ac:dyDescent="0.25">
      <c r="A13" s="46" t="s">
        <v>165</v>
      </c>
      <c r="B13" s="65"/>
      <c r="C13" s="65">
        <v>264</v>
      </c>
      <c r="D13" s="65">
        <v>335</v>
      </c>
      <c r="E13" s="65">
        <v>335</v>
      </c>
      <c r="F13" s="65"/>
      <c r="G13" s="65"/>
      <c r="H13" s="65"/>
      <c r="I13" s="65"/>
      <c r="J13" s="65"/>
      <c r="K13" s="65"/>
      <c r="L13" s="65"/>
      <c r="M13" s="65"/>
      <c r="N13" s="5">
        <f>IFERROR(SUM(B13:M13),"-")</f>
        <v>934</v>
      </c>
    </row>
    <row r="14" spans="1:14" ht="15.75" customHeight="1" x14ac:dyDescent="0.25">
      <c r="A14" s="46" t="s">
        <v>166</v>
      </c>
      <c r="B14" s="68" t="str">
        <f t="shared" ref="B14:N14" si="3">IFERROR(B6/B13,"-")</f>
        <v>-</v>
      </c>
      <c r="C14" s="68">
        <f>IFERROR(C8/C13,"-")</f>
        <v>191.67424242424244</v>
      </c>
      <c r="D14" s="68">
        <f>IFERROR(D8/D13,"-")</f>
        <v>179.54626865671642</v>
      </c>
      <c r="E14" s="68">
        <f>IFERROR(E8/E13,"-")</f>
        <v>358.20895522388059</v>
      </c>
      <c r="F14" s="68" t="str">
        <f t="shared" si="3"/>
        <v>-</v>
      </c>
      <c r="G14" s="68" t="str">
        <f t="shared" si="3"/>
        <v>-</v>
      </c>
      <c r="H14" s="68" t="str">
        <f t="shared" si="3"/>
        <v>-</v>
      </c>
      <c r="I14" s="68" t="str">
        <f t="shared" si="3"/>
        <v>-</v>
      </c>
      <c r="J14" s="68" t="str">
        <f t="shared" si="3"/>
        <v>-</v>
      </c>
      <c r="K14" s="68" t="str">
        <f t="shared" si="3"/>
        <v>-</v>
      </c>
      <c r="L14" s="68" t="str">
        <f t="shared" si="3"/>
        <v>-</v>
      </c>
      <c r="M14" s="68" t="str">
        <f t="shared" si="3"/>
        <v>-</v>
      </c>
      <c r="N14" s="69">
        <f t="shared" si="3"/>
        <v>0</v>
      </c>
    </row>
    <row r="15" spans="1:14" ht="7.5" customHeight="1" x14ac:dyDescent="0.25"/>
    <row r="16" spans="1:14" ht="27.75" customHeight="1" x14ac:dyDescent="0.25">
      <c r="A16" s="106" t="s">
        <v>167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</row>
    <row r="17" spans="1:14" ht="18" customHeight="1" x14ac:dyDescent="0.25">
      <c r="A17" s="53" t="s">
        <v>118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11</v>
      </c>
      <c r="H17" s="1" t="s">
        <v>12</v>
      </c>
      <c r="I17" s="2" t="s">
        <v>13</v>
      </c>
      <c r="J17" s="1" t="s">
        <v>14</v>
      </c>
      <c r="K17" s="1" t="s">
        <v>15</v>
      </c>
      <c r="L17" s="2" t="s">
        <v>16</v>
      </c>
      <c r="M17" s="2" t="s">
        <v>17</v>
      </c>
      <c r="N17" s="36" t="s">
        <v>18</v>
      </c>
    </row>
    <row r="18" spans="1:14" ht="15.75" customHeight="1" x14ac:dyDescent="0.25">
      <c r="A18" s="46" t="s">
        <v>50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5">
        <f>IFERROR(SUM(B18:M18),"-")</f>
        <v>0</v>
      </c>
    </row>
    <row r="19" spans="1:14" ht="15.75" customHeight="1" x14ac:dyDescent="0.25">
      <c r="A19" s="46" t="s">
        <v>51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5">
        <f>IFERROR(SUM(B19:M19),"-")</f>
        <v>0</v>
      </c>
    </row>
    <row r="20" spans="1:14" ht="15.75" customHeight="1" x14ac:dyDescent="0.25">
      <c r="A20" s="46" t="s">
        <v>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5">
        <f>IFERROR(SUM(B20:M20),"-")</f>
        <v>0</v>
      </c>
    </row>
    <row r="21" spans="1:14" ht="15.75" customHeight="1" x14ac:dyDescent="0.25">
      <c r="A21" s="46" t="s">
        <v>55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5">
        <f>IFERROR(SUM(B21:M21),"-")</f>
        <v>0</v>
      </c>
    </row>
    <row r="22" spans="1:14" ht="15.75" customHeight="1" x14ac:dyDescent="0.25">
      <c r="A22" s="46" t="s">
        <v>161</v>
      </c>
      <c r="B22" s="7" t="str">
        <f t="shared" ref="B22:N22" si="4">IFERROR(B19/B18,"-")</f>
        <v>-</v>
      </c>
      <c r="C22" s="7" t="str">
        <f t="shared" si="4"/>
        <v>-</v>
      </c>
      <c r="D22" s="7" t="str">
        <f t="shared" si="4"/>
        <v>-</v>
      </c>
      <c r="E22" s="7" t="str">
        <f t="shared" si="4"/>
        <v>-</v>
      </c>
      <c r="F22" s="7" t="str">
        <f t="shared" si="4"/>
        <v>-</v>
      </c>
      <c r="G22" s="7" t="str">
        <f t="shared" si="4"/>
        <v>-</v>
      </c>
      <c r="H22" s="7" t="str">
        <f t="shared" si="4"/>
        <v>-</v>
      </c>
      <c r="I22" s="7" t="str">
        <f t="shared" si="4"/>
        <v>-</v>
      </c>
      <c r="J22" s="7" t="str">
        <f t="shared" si="4"/>
        <v>-</v>
      </c>
      <c r="K22" s="7" t="str">
        <f t="shared" si="4"/>
        <v>-</v>
      </c>
      <c r="L22" s="7" t="str">
        <f t="shared" si="4"/>
        <v>-</v>
      </c>
      <c r="M22" s="7" t="str">
        <f t="shared" si="4"/>
        <v>-</v>
      </c>
      <c r="N22" s="8" t="str">
        <f t="shared" si="4"/>
        <v>-</v>
      </c>
    </row>
    <row r="23" spans="1:14" ht="15.75" customHeight="1" x14ac:dyDescent="0.25">
      <c r="A23" s="46" t="s">
        <v>162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5">
        <f>IFERROR(SUM(B23:M23),"-")</f>
        <v>0</v>
      </c>
    </row>
    <row r="24" spans="1:14" ht="15.75" customHeight="1" x14ac:dyDescent="0.25">
      <c r="A24" s="46" t="s">
        <v>163</v>
      </c>
      <c r="B24" s="9" t="str">
        <f t="shared" ref="B24:N24" si="5">IFERROR(B23/B19,"-")</f>
        <v>-</v>
      </c>
      <c r="C24" s="9" t="str">
        <f t="shared" si="5"/>
        <v>-</v>
      </c>
      <c r="D24" s="9" t="str">
        <f t="shared" si="5"/>
        <v>-</v>
      </c>
      <c r="E24" s="9" t="str">
        <f t="shared" si="5"/>
        <v>-</v>
      </c>
      <c r="F24" s="9" t="str">
        <f t="shared" si="5"/>
        <v>-</v>
      </c>
      <c r="G24" s="9" t="str">
        <f t="shared" si="5"/>
        <v>-</v>
      </c>
      <c r="H24" s="9" t="str">
        <f t="shared" si="5"/>
        <v>-</v>
      </c>
      <c r="I24" s="9" t="str">
        <f t="shared" si="5"/>
        <v>-</v>
      </c>
      <c r="J24" s="9" t="str">
        <f t="shared" si="5"/>
        <v>-</v>
      </c>
      <c r="K24" s="9" t="str">
        <f t="shared" si="5"/>
        <v>-</v>
      </c>
      <c r="L24" s="9" t="str">
        <f t="shared" si="5"/>
        <v>-</v>
      </c>
      <c r="M24" s="9" t="str">
        <f t="shared" si="5"/>
        <v>-</v>
      </c>
      <c r="N24" s="10" t="str">
        <f t="shared" si="5"/>
        <v>-</v>
      </c>
    </row>
    <row r="25" spans="1:14" ht="15.75" customHeight="1" x14ac:dyDescent="0.25">
      <c r="A25" s="46" t="s">
        <v>164</v>
      </c>
      <c r="B25" s="66" t="str">
        <f t="shared" ref="B25:N25" si="6">IFERROR(B19/B23,"-")</f>
        <v>-</v>
      </c>
      <c r="C25" s="66" t="str">
        <f t="shared" si="6"/>
        <v>-</v>
      </c>
      <c r="D25" s="66" t="str">
        <f t="shared" si="6"/>
        <v>-</v>
      </c>
      <c r="E25" s="66" t="str">
        <f t="shared" si="6"/>
        <v>-</v>
      </c>
      <c r="F25" s="66" t="str">
        <f t="shared" si="6"/>
        <v>-</v>
      </c>
      <c r="G25" s="66" t="str">
        <f t="shared" si="6"/>
        <v>-</v>
      </c>
      <c r="H25" s="66" t="str">
        <f t="shared" si="6"/>
        <v>-</v>
      </c>
      <c r="I25" s="66" t="str">
        <f t="shared" si="6"/>
        <v>-</v>
      </c>
      <c r="J25" s="66" t="str">
        <f t="shared" si="6"/>
        <v>-</v>
      </c>
      <c r="K25" s="66" t="str">
        <f t="shared" si="6"/>
        <v>-</v>
      </c>
      <c r="L25" s="66" t="str">
        <f t="shared" si="6"/>
        <v>-</v>
      </c>
      <c r="M25" s="66" t="str">
        <f t="shared" si="6"/>
        <v>-</v>
      </c>
      <c r="N25" s="67" t="str">
        <f t="shared" si="6"/>
        <v>-</v>
      </c>
    </row>
    <row r="26" spans="1:14" ht="15.75" customHeight="1" x14ac:dyDescent="0.25">
      <c r="A26" s="46" t="s">
        <v>165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5">
        <f>IFERROR(SUM(B26:M26),"-")</f>
        <v>0</v>
      </c>
    </row>
    <row r="27" spans="1:14" ht="15.75" customHeight="1" x14ac:dyDescent="0.25">
      <c r="A27" s="46" t="s">
        <v>166</v>
      </c>
      <c r="B27" s="68" t="str">
        <f t="shared" ref="B27:N27" si="7">IFERROR(B19/B26,"-")</f>
        <v>-</v>
      </c>
      <c r="C27" s="68" t="str">
        <f t="shared" si="7"/>
        <v>-</v>
      </c>
      <c r="D27" s="68" t="str">
        <f t="shared" si="7"/>
        <v>-</v>
      </c>
      <c r="E27" s="68" t="str">
        <f t="shared" si="7"/>
        <v>-</v>
      </c>
      <c r="F27" s="68" t="str">
        <f t="shared" si="7"/>
        <v>-</v>
      </c>
      <c r="G27" s="68" t="str">
        <f t="shared" si="7"/>
        <v>-</v>
      </c>
      <c r="H27" s="68" t="str">
        <f t="shared" si="7"/>
        <v>-</v>
      </c>
      <c r="I27" s="68" t="str">
        <f t="shared" si="7"/>
        <v>-</v>
      </c>
      <c r="J27" s="68" t="str">
        <f t="shared" si="7"/>
        <v>-</v>
      </c>
      <c r="K27" s="68" t="str">
        <f t="shared" si="7"/>
        <v>-</v>
      </c>
      <c r="L27" s="68" t="str">
        <f t="shared" si="7"/>
        <v>-</v>
      </c>
      <c r="M27" s="68" t="str">
        <f t="shared" si="7"/>
        <v>-</v>
      </c>
      <c r="N27" s="69" t="str">
        <f t="shared" si="7"/>
        <v>-</v>
      </c>
    </row>
    <row r="28" spans="1:14" ht="7.5" customHeight="1" x14ac:dyDescent="0.25"/>
    <row r="29" spans="1:14" ht="27.75" customHeight="1" x14ac:dyDescent="0.25">
      <c r="A29" s="107" t="s">
        <v>168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</row>
    <row r="30" spans="1:14" ht="18" customHeight="1" x14ac:dyDescent="0.25">
      <c r="A30" s="53" t="s">
        <v>118</v>
      </c>
      <c r="B30" s="1" t="s">
        <v>6</v>
      </c>
      <c r="C30" s="1" t="s">
        <v>7</v>
      </c>
      <c r="D30" s="1" t="s">
        <v>8</v>
      </c>
      <c r="E30" s="1" t="s">
        <v>9</v>
      </c>
      <c r="F30" s="1" t="s">
        <v>10</v>
      </c>
      <c r="G30" s="1" t="s">
        <v>11</v>
      </c>
      <c r="H30" s="1" t="s">
        <v>12</v>
      </c>
      <c r="I30" s="2" t="s">
        <v>13</v>
      </c>
      <c r="J30" s="1" t="s">
        <v>14</v>
      </c>
      <c r="K30" s="1" t="s">
        <v>15</v>
      </c>
      <c r="L30" s="2" t="s">
        <v>16</v>
      </c>
      <c r="M30" s="2" t="s">
        <v>17</v>
      </c>
      <c r="N30" s="36" t="s">
        <v>18</v>
      </c>
    </row>
    <row r="31" spans="1:14" ht="15.75" customHeight="1" x14ac:dyDescent="0.25">
      <c r="A31" s="46" t="s">
        <v>50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5">
        <f>IFERROR(SUM(B31:M31),"-")</f>
        <v>0</v>
      </c>
    </row>
    <row r="32" spans="1:14" ht="15.75" customHeight="1" x14ac:dyDescent="0.25">
      <c r="A32" s="46" t="s">
        <v>51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f>IFERROR(SUM(B32:M32),"-")</f>
        <v>0</v>
      </c>
    </row>
    <row r="33" spans="1:14" ht="15.75" customHeight="1" x14ac:dyDescent="0.25">
      <c r="A33" s="46" t="s">
        <v>54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5">
        <f>IFERROR(SUM(B33:M33),"-")</f>
        <v>0</v>
      </c>
    </row>
    <row r="34" spans="1:14" ht="15.75" customHeight="1" x14ac:dyDescent="0.25">
      <c r="A34" s="46" t="s">
        <v>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f>IFERROR(SUM(B34:M34),"-")</f>
        <v>0</v>
      </c>
    </row>
    <row r="35" spans="1:14" ht="15.75" customHeight="1" x14ac:dyDescent="0.25">
      <c r="A35" s="46" t="s">
        <v>161</v>
      </c>
      <c r="B35" s="7" t="str">
        <f t="shared" ref="B35:N35" si="8">IFERROR(B32/B31,"-")</f>
        <v>-</v>
      </c>
      <c r="C35" s="7" t="str">
        <f t="shared" si="8"/>
        <v>-</v>
      </c>
      <c r="D35" s="7" t="str">
        <f t="shared" si="8"/>
        <v>-</v>
      </c>
      <c r="E35" s="7" t="str">
        <f t="shared" si="8"/>
        <v>-</v>
      </c>
      <c r="F35" s="7" t="str">
        <f t="shared" si="8"/>
        <v>-</v>
      </c>
      <c r="G35" s="7" t="str">
        <f t="shared" si="8"/>
        <v>-</v>
      </c>
      <c r="H35" s="7" t="str">
        <f t="shared" si="8"/>
        <v>-</v>
      </c>
      <c r="I35" s="7" t="str">
        <f t="shared" si="8"/>
        <v>-</v>
      </c>
      <c r="J35" s="7" t="str">
        <f t="shared" si="8"/>
        <v>-</v>
      </c>
      <c r="K35" s="7" t="str">
        <f t="shared" si="8"/>
        <v>-</v>
      </c>
      <c r="L35" s="7" t="str">
        <f t="shared" si="8"/>
        <v>-</v>
      </c>
      <c r="M35" s="7" t="str">
        <f t="shared" si="8"/>
        <v>-</v>
      </c>
      <c r="N35" s="8" t="str">
        <f t="shared" si="8"/>
        <v>-</v>
      </c>
    </row>
    <row r="36" spans="1:14" ht="15.75" customHeight="1" x14ac:dyDescent="0.25">
      <c r="A36" s="46" t="s">
        <v>162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>
        <f>IFERROR(SUM(B36:M36),"-")</f>
        <v>0</v>
      </c>
    </row>
    <row r="37" spans="1:14" ht="15.75" customHeight="1" x14ac:dyDescent="0.25">
      <c r="A37" s="46" t="s">
        <v>163</v>
      </c>
      <c r="B37" s="9" t="str">
        <f t="shared" ref="B37:N37" si="9">IFERROR(B36/B32,"-")</f>
        <v>-</v>
      </c>
      <c r="C37" s="9" t="str">
        <f t="shared" si="9"/>
        <v>-</v>
      </c>
      <c r="D37" s="9" t="str">
        <f t="shared" si="9"/>
        <v>-</v>
      </c>
      <c r="E37" s="9" t="str">
        <f t="shared" si="9"/>
        <v>-</v>
      </c>
      <c r="F37" s="9" t="str">
        <f t="shared" si="9"/>
        <v>-</v>
      </c>
      <c r="G37" s="9" t="str">
        <f t="shared" si="9"/>
        <v>-</v>
      </c>
      <c r="H37" s="9" t="str">
        <f t="shared" si="9"/>
        <v>-</v>
      </c>
      <c r="I37" s="9" t="str">
        <f t="shared" si="9"/>
        <v>-</v>
      </c>
      <c r="J37" s="9" t="str">
        <f t="shared" si="9"/>
        <v>-</v>
      </c>
      <c r="K37" s="9" t="str">
        <f t="shared" si="9"/>
        <v>-</v>
      </c>
      <c r="L37" s="9" t="str">
        <f t="shared" si="9"/>
        <v>-</v>
      </c>
      <c r="M37" s="9" t="str">
        <f t="shared" si="9"/>
        <v>-</v>
      </c>
      <c r="N37" s="10" t="str">
        <f t="shared" si="9"/>
        <v>-</v>
      </c>
    </row>
    <row r="38" spans="1:14" ht="15.75" customHeight="1" x14ac:dyDescent="0.25">
      <c r="A38" s="46" t="s">
        <v>164</v>
      </c>
      <c r="B38" s="66" t="str">
        <f t="shared" ref="B38:N38" si="10">IFERROR(B32/B36,"-")</f>
        <v>-</v>
      </c>
      <c r="C38" s="66" t="str">
        <f t="shared" si="10"/>
        <v>-</v>
      </c>
      <c r="D38" s="66" t="str">
        <f t="shared" si="10"/>
        <v>-</v>
      </c>
      <c r="E38" s="66" t="str">
        <f t="shared" si="10"/>
        <v>-</v>
      </c>
      <c r="F38" s="66" t="str">
        <f t="shared" si="10"/>
        <v>-</v>
      </c>
      <c r="G38" s="66" t="str">
        <f t="shared" si="10"/>
        <v>-</v>
      </c>
      <c r="H38" s="66" t="str">
        <f t="shared" si="10"/>
        <v>-</v>
      </c>
      <c r="I38" s="66" t="str">
        <f t="shared" si="10"/>
        <v>-</v>
      </c>
      <c r="J38" s="66" t="str">
        <f t="shared" si="10"/>
        <v>-</v>
      </c>
      <c r="K38" s="66" t="str">
        <f t="shared" si="10"/>
        <v>-</v>
      </c>
      <c r="L38" s="66" t="str">
        <f t="shared" si="10"/>
        <v>-</v>
      </c>
      <c r="M38" s="66" t="str">
        <f t="shared" si="10"/>
        <v>-</v>
      </c>
      <c r="N38" s="67" t="str">
        <f t="shared" si="10"/>
        <v>-</v>
      </c>
    </row>
    <row r="39" spans="1:14" ht="15.75" customHeight="1" x14ac:dyDescent="0.25">
      <c r="A39" s="46" t="s">
        <v>165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5">
        <f>IFERROR(SUM(B39:M39),"-")</f>
        <v>0</v>
      </c>
    </row>
    <row r="40" spans="1:14" ht="15.75" customHeight="1" x14ac:dyDescent="0.25">
      <c r="A40" s="46" t="s">
        <v>166</v>
      </c>
      <c r="B40" s="68" t="str">
        <f t="shared" ref="B40:N40" si="11">IFERROR(B32/B39,"-")</f>
        <v>-</v>
      </c>
      <c r="C40" s="68" t="str">
        <f t="shared" si="11"/>
        <v>-</v>
      </c>
      <c r="D40" s="68" t="str">
        <f t="shared" si="11"/>
        <v>-</v>
      </c>
      <c r="E40" s="68" t="str">
        <f t="shared" si="11"/>
        <v>-</v>
      </c>
      <c r="F40" s="68" t="str">
        <f t="shared" si="11"/>
        <v>-</v>
      </c>
      <c r="G40" s="68" t="str">
        <f t="shared" si="11"/>
        <v>-</v>
      </c>
      <c r="H40" s="68" t="str">
        <f t="shared" si="11"/>
        <v>-</v>
      </c>
      <c r="I40" s="68" t="str">
        <f t="shared" si="11"/>
        <v>-</v>
      </c>
      <c r="J40" s="68" t="str">
        <f t="shared" si="11"/>
        <v>-</v>
      </c>
      <c r="K40" s="68" t="str">
        <f t="shared" si="11"/>
        <v>-</v>
      </c>
      <c r="L40" s="68" t="str">
        <f t="shared" si="11"/>
        <v>-</v>
      </c>
      <c r="M40" s="68" t="str">
        <f t="shared" si="11"/>
        <v>-</v>
      </c>
      <c r="N40" s="69" t="str">
        <f t="shared" si="11"/>
        <v>-</v>
      </c>
    </row>
    <row r="41" spans="1:14" ht="7.5" customHeight="1" x14ac:dyDescent="0.25"/>
    <row r="42" spans="1:14" ht="27.75" customHeight="1" x14ac:dyDescent="0.25">
      <c r="A42" s="108" t="s">
        <v>169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</row>
    <row r="43" spans="1:14" ht="18" customHeight="1" x14ac:dyDescent="0.25">
      <c r="A43" s="53" t="s">
        <v>118</v>
      </c>
      <c r="B43" s="1" t="s">
        <v>6</v>
      </c>
      <c r="C43" s="1" t="s">
        <v>7</v>
      </c>
      <c r="D43" s="1" t="s">
        <v>8</v>
      </c>
      <c r="E43" s="1" t="s">
        <v>9</v>
      </c>
      <c r="F43" s="1" t="s">
        <v>10</v>
      </c>
      <c r="G43" s="1" t="s">
        <v>11</v>
      </c>
      <c r="H43" s="1" t="s">
        <v>12</v>
      </c>
      <c r="I43" s="2" t="s">
        <v>13</v>
      </c>
      <c r="J43" s="1" t="s">
        <v>14</v>
      </c>
      <c r="K43" s="1" t="s">
        <v>15</v>
      </c>
      <c r="L43" s="2" t="s">
        <v>16</v>
      </c>
      <c r="M43" s="2" t="s">
        <v>17</v>
      </c>
      <c r="N43" s="36" t="s">
        <v>18</v>
      </c>
    </row>
    <row r="44" spans="1:14" ht="15.75" customHeight="1" x14ac:dyDescent="0.25">
      <c r="A44" s="46" t="s">
        <v>50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5">
        <f>IFERROR(SUM(B44:M44),"-")</f>
        <v>0</v>
      </c>
    </row>
    <row r="45" spans="1:14" ht="15.75" customHeight="1" x14ac:dyDescent="0.25">
      <c r="A45" s="46" t="s">
        <v>51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5">
        <f>IFERROR(SUM(B45:M45),"-")</f>
        <v>0</v>
      </c>
    </row>
    <row r="46" spans="1:14" ht="15.75" customHeight="1" x14ac:dyDescent="0.25">
      <c r="A46" s="46" t="s">
        <v>54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5">
        <f>IFERROR(SUM(B46:M46),"-")</f>
        <v>0</v>
      </c>
    </row>
    <row r="47" spans="1:14" ht="15.75" customHeight="1" x14ac:dyDescent="0.25">
      <c r="A47" s="46" t="s">
        <v>55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5">
        <f>IFERROR(SUM(B47:M47),"-")</f>
        <v>0</v>
      </c>
    </row>
    <row r="48" spans="1:14" ht="15.75" customHeight="1" x14ac:dyDescent="0.25">
      <c r="A48" s="46" t="s">
        <v>161</v>
      </c>
      <c r="B48" s="7" t="str">
        <f t="shared" ref="B48:N48" si="12">IFERROR(B45/B44,"-")</f>
        <v>-</v>
      </c>
      <c r="C48" s="7" t="str">
        <f t="shared" si="12"/>
        <v>-</v>
      </c>
      <c r="D48" s="7" t="str">
        <f t="shared" si="12"/>
        <v>-</v>
      </c>
      <c r="E48" s="7" t="str">
        <f t="shared" si="12"/>
        <v>-</v>
      </c>
      <c r="F48" s="7" t="str">
        <f t="shared" si="12"/>
        <v>-</v>
      </c>
      <c r="G48" s="7" t="str">
        <f t="shared" si="12"/>
        <v>-</v>
      </c>
      <c r="H48" s="7" t="str">
        <f t="shared" si="12"/>
        <v>-</v>
      </c>
      <c r="I48" s="7" t="str">
        <f t="shared" si="12"/>
        <v>-</v>
      </c>
      <c r="J48" s="7" t="str">
        <f t="shared" si="12"/>
        <v>-</v>
      </c>
      <c r="K48" s="7" t="str">
        <f t="shared" si="12"/>
        <v>-</v>
      </c>
      <c r="L48" s="7" t="str">
        <f t="shared" si="12"/>
        <v>-</v>
      </c>
      <c r="M48" s="7" t="str">
        <f t="shared" si="12"/>
        <v>-</v>
      </c>
      <c r="N48" s="8" t="str">
        <f t="shared" si="12"/>
        <v>-</v>
      </c>
    </row>
    <row r="49" spans="1:14" ht="15.75" customHeight="1" x14ac:dyDescent="0.25">
      <c r="A49" s="46" t="s">
        <v>162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5">
        <f>IFERROR(SUM(B49:M49),"-")</f>
        <v>0</v>
      </c>
    </row>
    <row r="50" spans="1:14" ht="15.75" customHeight="1" x14ac:dyDescent="0.25">
      <c r="A50" s="46" t="s">
        <v>163</v>
      </c>
      <c r="B50" s="9" t="str">
        <f t="shared" ref="B50:N50" si="13">IFERROR(B49/B45,"-")</f>
        <v>-</v>
      </c>
      <c r="C50" s="9" t="str">
        <f t="shared" si="13"/>
        <v>-</v>
      </c>
      <c r="D50" s="9" t="str">
        <f t="shared" si="13"/>
        <v>-</v>
      </c>
      <c r="E50" s="9" t="str">
        <f t="shared" si="13"/>
        <v>-</v>
      </c>
      <c r="F50" s="9" t="str">
        <f t="shared" si="13"/>
        <v>-</v>
      </c>
      <c r="G50" s="9" t="str">
        <f t="shared" si="13"/>
        <v>-</v>
      </c>
      <c r="H50" s="9" t="str">
        <f t="shared" si="13"/>
        <v>-</v>
      </c>
      <c r="I50" s="9" t="str">
        <f t="shared" si="13"/>
        <v>-</v>
      </c>
      <c r="J50" s="9" t="str">
        <f t="shared" si="13"/>
        <v>-</v>
      </c>
      <c r="K50" s="9" t="str">
        <f t="shared" si="13"/>
        <v>-</v>
      </c>
      <c r="L50" s="9" t="str">
        <f t="shared" si="13"/>
        <v>-</v>
      </c>
      <c r="M50" s="9" t="str">
        <f t="shared" si="13"/>
        <v>-</v>
      </c>
      <c r="N50" s="10" t="str">
        <f t="shared" si="13"/>
        <v>-</v>
      </c>
    </row>
    <row r="51" spans="1:14" ht="15.75" customHeight="1" x14ac:dyDescent="0.25">
      <c r="A51" s="46" t="s">
        <v>164</v>
      </c>
      <c r="B51" s="66" t="str">
        <f t="shared" ref="B51:N51" si="14">IFERROR(B45/B49,"-")</f>
        <v>-</v>
      </c>
      <c r="C51" s="66" t="str">
        <f t="shared" si="14"/>
        <v>-</v>
      </c>
      <c r="D51" s="66" t="str">
        <f t="shared" si="14"/>
        <v>-</v>
      </c>
      <c r="E51" s="66" t="str">
        <f t="shared" si="14"/>
        <v>-</v>
      </c>
      <c r="F51" s="66" t="str">
        <f t="shared" si="14"/>
        <v>-</v>
      </c>
      <c r="G51" s="66" t="str">
        <f t="shared" si="14"/>
        <v>-</v>
      </c>
      <c r="H51" s="66" t="str">
        <f t="shared" si="14"/>
        <v>-</v>
      </c>
      <c r="I51" s="66" t="str">
        <f t="shared" si="14"/>
        <v>-</v>
      </c>
      <c r="J51" s="66" t="str">
        <f t="shared" si="14"/>
        <v>-</v>
      </c>
      <c r="K51" s="66" t="str">
        <f t="shared" si="14"/>
        <v>-</v>
      </c>
      <c r="L51" s="66" t="str">
        <f t="shared" si="14"/>
        <v>-</v>
      </c>
      <c r="M51" s="66" t="str">
        <f t="shared" si="14"/>
        <v>-</v>
      </c>
      <c r="N51" s="67" t="str">
        <f t="shared" si="14"/>
        <v>-</v>
      </c>
    </row>
    <row r="52" spans="1:14" ht="15.75" customHeight="1" x14ac:dyDescent="0.25">
      <c r="A52" s="46" t="s">
        <v>165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5">
        <f>IFERROR(SUM(B52:M52),"-")</f>
        <v>0</v>
      </c>
    </row>
    <row r="53" spans="1:14" ht="15.75" customHeight="1" x14ac:dyDescent="0.25">
      <c r="A53" s="46" t="s">
        <v>166</v>
      </c>
      <c r="B53" s="68" t="str">
        <f t="shared" ref="B53:N53" si="15">IFERROR(B45/B52,"-")</f>
        <v>-</v>
      </c>
      <c r="C53" s="68" t="str">
        <f t="shared" si="15"/>
        <v>-</v>
      </c>
      <c r="D53" s="68" t="str">
        <f t="shared" si="15"/>
        <v>-</v>
      </c>
      <c r="E53" s="68" t="str">
        <f t="shared" si="15"/>
        <v>-</v>
      </c>
      <c r="F53" s="68" t="str">
        <f t="shared" si="15"/>
        <v>-</v>
      </c>
      <c r="G53" s="68" t="str">
        <f t="shared" si="15"/>
        <v>-</v>
      </c>
      <c r="H53" s="68" t="str">
        <f t="shared" si="15"/>
        <v>-</v>
      </c>
      <c r="I53" s="68" t="str">
        <f t="shared" si="15"/>
        <v>-</v>
      </c>
      <c r="J53" s="68" t="str">
        <f t="shared" si="15"/>
        <v>-</v>
      </c>
      <c r="K53" s="68" t="str">
        <f t="shared" si="15"/>
        <v>-</v>
      </c>
      <c r="L53" s="68" t="str">
        <f t="shared" si="15"/>
        <v>-</v>
      </c>
      <c r="M53" s="68" t="str">
        <f t="shared" si="15"/>
        <v>-</v>
      </c>
      <c r="N53" s="69" t="str">
        <f t="shared" si="15"/>
        <v>-</v>
      </c>
    </row>
    <row r="54" spans="1:14" ht="7.5" customHeight="1" x14ac:dyDescent="0.25"/>
    <row r="55" spans="1:14" ht="27.75" customHeight="1" x14ac:dyDescent="0.25">
      <c r="A55" s="103" t="s">
        <v>170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 ht="18" customHeight="1" x14ac:dyDescent="0.25">
      <c r="A56" s="53" t="s">
        <v>118</v>
      </c>
      <c r="B56" s="1" t="s">
        <v>6</v>
      </c>
      <c r="C56" s="1" t="s">
        <v>7</v>
      </c>
      <c r="D56" s="1" t="s">
        <v>8</v>
      </c>
      <c r="E56" s="1" t="s">
        <v>9</v>
      </c>
      <c r="F56" s="1" t="s">
        <v>10</v>
      </c>
      <c r="G56" s="1" t="s">
        <v>11</v>
      </c>
      <c r="H56" s="1" t="s">
        <v>12</v>
      </c>
      <c r="I56" s="2" t="s">
        <v>13</v>
      </c>
      <c r="J56" s="1" t="s">
        <v>14</v>
      </c>
      <c r="K56" s="1" t="s">
        <v>15</v>
      </c>
      <c r="L56" s="2" t="s">
        <v>16</v>
      </c>
      <c r="M56" s="2" t="s">
        <v>17</v>
      </c>
      <c r="N56" s="36" t="s">
        <v>18</v>
      </c>
    </row>
    <row r="57" spans="1:14" ht="15.75" customHeight="1" x14ac:dyDescent="0.25">
      <c r="A57" s="46" t="s">
        <v>50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5">
        <f>IFERROR(SUM(B57:M57),"-")</f>
        <v>0</v>
      </c>
    </row>
    <row r="58" spans="1:14" ht="15.75" customHeight="1" x14ac:dyDescent="0.25">
      <c r="A58" s="46" t="s">
        <v>51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5">
        <f>IFERROR(SUM(B58:M58),"-")</f>
        <v>0</v>
      </c>
    </row>
    <row r="59" spans="1:14" ht="15.75" customHeight="1" x14ac:dyDescent="0.25">
      <c r="A59" s="46" t="s">
        <v>54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5">
        <f>IFERROR(SUM(B59:M59),"-")</f>
        <v>0</v>
      </c>
    </row>
    <row r="60" spans="1:14" ht="15.75" customHeight="1" x14ac:dyDescent="0.25">
      <c r="A60" s="46" t="s">
        <v>55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5">
        <f>IFERROR(SUM(B60:M60),"-")</f>
        <v>0</v>
      </c>
    </row>
    <row r="61" spans="1:14" ht="15.75" customHeight="1" x14ac:dyDescent="0.25">
      <c r="A61" s="46" t="s">
        <v>161</v>
      </c>
      <c r="B61" s="7" t="str">
        <f t="shared" ref="B61:N61" si="16">IFERROR(B58/B57,"-")</f>
        <v>-</v>
      </c>
      <c r="C61" s="7" t="str">
        <f t="shared" si="16"/>
        <v>-</v>
      </c>
      <c r="D61" s="7" t="str">
        <f t="shared" si="16"/>
        <v>-</v>
      </c>
      <c r="E61" s="7" t="str">
        <f t="shared" si="16"/>
        <v>-</v>
      </c>
      <c r="F61" s="7" t="str">
        <f t="shared" si="16"/>
        <v>-</v>
      </c>
      <c r="G61" s="7" t="str">
        <f t="shared" si="16"/>
        <v>-</v>
      </c>
      <c r="H61" s="7" t="str">
        <f t="shared" si="16"/>
        <v>-</v>
      </c>
      <c r="I61" s="7" t="str">
        <f t="shared" si="16"/>
        <v>-</v>
      </c>
      <c r="J61" s="7" t="str">
        <f t="shared" si="16"/>
        <v>-</v>
      </c>
      <c r="K61" s="7" t="str">
        <f t="shared" si="16"/>
        <v>-</v>
      </c>
      <c r="L61" s="7" t="str">
        <f t="shared" si="16"/>
        <v>-</v>
      </c>
      <c r="M61" s="7" t="str">
        <f t="shared" si="16"/>
        <v>-</v>
      </c>
      <c r="N61" s="8" t="str">
        <f t="shared" si="16"/>
        <v>-</v>
      </c>
    </row>
    <row r="62" spans="1:14" ht="15.75" customHeight="1" x14ac:dyDescent="0.25">
      <c r="A62" s="46" t="s">
        <v>162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5">
        <f>IFERROR(SUM(B62:M62),"-")</f>
        <v>0</v>
      </c>
    </row>
    <row r="63" spans="1:14" ht="15.75" customHeight="1" x14ac:dyDescent="0.25">
      <c r="A63" s="46" t="s">
        <v>163</v>
      </c>
      <c r="B63" s="9" t="str">
        <f t="shared" ref="B63:N63" si="17">IFERROR(B62/B58,"-")</f>
        <v>-</v>
      </c>
      <c r="C63" s="9" t="str">
        <f t="shared" si="17"/>
        <v>-</v>
      </c>
      <c r="D63" s="9" t="str">
        <f t="shared" si="17"/>
        <v>-</v>
      </c>
      <c r="E63" s="9" t="str">
        <f t="shared" si="17"/>
        <v>-</v>
      </c>
      <c r="F63" s="9" t="str">
        <f t="shared" si="17"/>
        <v>-</v>
      </c>
      <c r="G63" s="9" t="str">
        <f t="shared" si="17"/>
        <v>-</v>
      </c>
      <c r="H63" s="9" t="str">
        <f t="shared" si="17"/>
        <v>-</v>
      </c>
      <c r="I63" s="9" t="str">
        <f t="shared" si="17"/>
        <v>-</v>
      </c>
      <c r="J63" s="9" t="str">
        <f t="shared" si="17"/>
        <v>-</v>
      </c>
      <c r="K63" s="9" t="str">
        <f t="shared" si="17"/>
        <v>-</v>
      </c>
      <c r="L63" s="9" t="str">
        <f t="shared" si="17"/>
        <v>-</v>
      </c>
      <c r="M63" s="9" t="str">
        <f t="shared" si="17"/>
        <v>-</v>
      </c>
      <c r="N63" s="10" t="str">
        <f t="shared" si="17"/>
        <v>-</v>
      </c>
    </row>
    <row r="64" spans="1:14" ht="15.75" customHeight="1" x14ac:dyDescent="0.25">
      <c r="A64" s="46" t="s">
        <v>164</v>
      </c>
      <c r="B64" s="66" t="str">
        <f t="shared" ref="B64:N64" si="18">IFERROR(B58/B62,"-")</f>
        <v>-</v>
      </c>
      <c r="C64" s="66" t="str">
        <f t="shared" si="18"/>
        <v>-</v>
      </c>
      <c r="D64" s="66" t="str">
        <f t="shared" si="18"/>
        <v>-</v>
      </c>
      <c r="E64" s="66" t="str">
        <f t="shared" si="18"/>
        <v>-</v>
      </c>
      <c r="F64" s="66" t="str">
        <f t="shared" si="18"/>
        <v>-</v>
      </c>
      <c r="G64" s="66" t="str">
        <f t="shared" si="18"/>
        <v>-</v>
      </c>
      <c r="H64" s="66" t="str">
        <f t="shared" si="18"/>
        <v>-</v>
      </c>
      <c r="I64" s="66" t="str">
        <f t="shared" si="18"/>
        <v>-</v>
      </c>
      <c r="J64" s="66" t="str">
        <f t="shared" si="18"/>
        <v>-</v>
      </c>
      <c r="K64" s="66" t="str">
        <f t="shared" si="18"/>
        <v>-</v>
      </c>
      <c r="L64" s="66" t="str">
        <f t="shared" si="18"/>
        <v>-</v>
      </c>
      <c r="M64" s="66" t="str">
        <f t="shared" si="18"/>
        <v>-</v>
      </c>
      <c r="N64" s="67" t="str">
        <f t="shared" si="18"/>
        <v>-</v>
      </c>
    </row>
    <row r="65" spans="1:14" ht="15.75" customHeight="1" x14ac:dyDescent="0.25">
      <c r="A65" s="46" t="s">
        <v>165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5">
        <f>IFERROR(SUM(B65:M65),"-")</f>
        <v>0</v>
      </c>
    </row>
    <row r="66" spans="1:14" ht="15.75" customHeight="1" x14ac:dyDescent="0.25">
      <c r="A66" s="46" t="s">
        <v>166</v>
      </c>
      <c r="B66" s="68" t="str">
        <f t="shared" ref="B66:N66" si="19">IFERROR(B58/B65,"-")</f>
        <v>-</v>
      </c>
      <c r="C66" s="68" t="str">
        <f t="shared" si="19"/>
        <v>-</v>
      </c>
      <c r="D66" s="68" t="str">
        <f t="shared" si="19"/>
        <v>-</v>
      </c>
      <c r="E66" s="68" t="str">
        <f t="shared" si="19"/>
        <v>-</v>
      </c>
      <c r="F66" s="68" t="str">
        <f t="shared" si="19"/>
        <v>-</v>
      </c>
      <c r="G66" s="68" t="str">
        <f t="shared" si="19"/>
        <v>-</v>
      </c>
      <c r="H66" s="68" t="str">
        <f t="shared" si="19"/>
        <v>-</v>
      </c>
      <c r="I66" s="68" t="str">
        <f t="shared" si="19"/>
        <v>-</v>
      </c>
      <c r="J66" s="68" t="str">
        <f t="shared" si="19"/>
        <v>-</v>
      </c>
      <c r="K66" s="68" t="str">
        <f t="shared" si="19"/>
        <v>-</v>
      </c>
      <c r="L66" s="68" t="str">
        <f t="shared" si="19"/>
        <v>-</v>
      </c>
      <c r="M66" s="68" t="str">
        <f t="shared" si="19"/>
        <v>-</v>
      </c>
      <c r="N66" s="69" t="str">
        <f t="shared" si="19"/>
        <v>-</v>
      </c>
    </row>
    <row r="67" spans="1:14" ht="7.5" customHeight="1" x14ac:dyDescent="0.25"/>
  </sheetData>
  <mergeCells count="6">
    <mergeCell ref="A55:N55"/>
    <mergeCell ref="A1:N1"/>
    <mergeCell ref="A3:N3"/>
    <mergeCell ref="A16:N16"/>
    <mergeCell ref="A29:N29"/>
    <mergeCell ref="A42:N4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N10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5" sqref="G5"/>
    </sheetView>
  </sheetViews>
  <sheetFormatPr defaultColWidth="8.7109375" defaultRowHeight="15" x14ac:dyDescent="0.25"/>
  <cols>
    <col min="1" max="1" width="11" customWidth="1"/>
    <col min="2" max="2" width="6" customWidth="1"/>
    <col min="3" max="4" width="13" customWidth="1"/>
    <col min="5" max="5" width="9" customWidth="1"/>
    <col min="6" max="6" width="11" customWidth="1"/>
    <col min="7" max="7" width="9" customWidth="1"/>
    <col min="8" max="8" width="8" customWidth="1"/>
    <col min="9" max="9" width="11" customWidth="1"/>
    <col min="10" max="11" width="8" customWidth="1"/>
    <col min="12" max="12" width="11" customWidth="1"/>
    <col min="13" max="13" width="22" customWidth="1"/>
    <col min="14" max="14" width="13" customWidth="1"/>
  </cols>
  <sheetData>
    <row r="1" spans="1:14" ht="36" customHeight="1" x14ac:dyDescent="0.25">
      <c r="A1" s="104" t="s">
        <v>171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2" spans="1:14" ht="15.75" customHeight="1" x14ac:dyDescent="0.25">
      <c r="A2" s="117" t="s">
        <v>172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</row>
    <row r="3" spans="1:14" ht="25.5" customHeight="1" x14ac:dyDescent="0.25">
      <c r="A3" s="128" t="s">
        <v>173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70">
        <f>IFERROR('📊 ANUAL MKTPLACES'!E9,0)</f>
        <v>0</v>
      </c>
    </row>
    <row r="4" spans="1:14" ht="19.5" customHeight="1" x14ac:dyDescent="0.25">
      <c r="A4" s="1" t="s">
        <v>174</v>
      </c>
      <c r="B4" s="1" t="s">
        <v>175</v>
      </c>
      <c r="C4" s="1" t="s">
        <v>176</v>
      </c>
      <c r="D4" s="1" t="s">
        <v>177</v>
      </c>
      <c r="E4" s="1" t="s">
        <v>178</v>
      </c>
      <c r="F4" s="1" t="s">
        <v>179</v>
      </c>
      <c r="G4" s="1" t="s">
        <v>180</v>
      </c>
      <c r="H4" s="1" t="s">
        <v>181</v>
      </c>
      <c r="I4" s="1" t="s">
        <v>182</v>
      </c>
      <c r="J4" s="1" t="s">
        <v>23</v>
      </c>
      <c r="K4" s="1" t="s">
        <v>164</v>
      </c>
      <c r="L4" s="1" t="s">
        <v>183</v>
      </c>
      <c r="M4" s="1" t="s">
        <v>184</v>
      </c>
      <c r="N4" s="1" t="s">
        <v>185</v>
      </c>
    </row>
    <row r="5" spans="1:14" ht="15.75" customHeight="1" x14ac:dyDescent="0.25">
      <c r="A5" s="71">
        <v>46113</v>
      </c>
      <c r="B5" s="72" t="s">
        <v>186</v>
      </c>
      <c r="C5" s="65"/>
      <c r="D5" s="65"/>
      <c r="E5" s="65"/>
      <c r="F5" s="68" t="str">
        <f t="shared" ref="F5:F35" si="0">IFERROR(C5/E5,"-")</f>
        <v>-</v>
      </c>
      <c r="G5" s="65"/>
      <c r="H5" s="9" t="str">
        <f t="shared" ref="H5:H35" si="1">IFERROR(E5/G5,"-")</f>
        <v>-</v>
      </c>
      <c r="I5" s="65">
        <v>108</v>
      </c>
      <c r="J5" s="9" t="str">
        <f t="shared" ref="J5:J35" si="2">IFERROR(I5/C5,"-")</f>
        <v>-</v>
      </c>
      <c r="K5" s="66">
        <f t="shared" ref="K5:K35" si="3">IFERROR(C5/I5,"-")</f>
        <v>0</v>
      </c>
      <c r="L5" s="73"/>
      <c r="M5" s="74"/>
      <c r="N5" s="75">
        <f>SUM($C$5:C5)</f>
        <v>0</v>
      </c>
    </row>
    <row r="6" spans="1:14" ht="15.75" customHeight="1" x14ac:dyDescent="0.25">
      <c r="A6" s="76">
        <v>46114</v>
      </c>
      <c r="B6" s="77" t="s">
        <v>187</v>
      </c>
      <c r="C6" s="65"/>
      <c r="D6" s="65"/>
      <c r="E6" s="65"/>
      <c r="F6" s="78" t="str">
        <f t="shared" si="0"/>
        <v>-</v>
      </c>
      <c r="G6" s="65"/>
      <c r="H6" s="79" t="str">
        <f t="shared" si="1"/>
        <v>-</v>
      </c>
      <c r="I6" s="65"/>
      <c r="J6" s="79" t="str">
        <f t="shared" si="2"/>
        <v>-</v>
      </c>
      <c r="K6" s="80" t="str">
        <f t="shared" si="3"/>
        <v>-</v>
      </c>
      <c r="L6" s="73"/>
      <c r="M6" s="74"/>
      <c r="N6" s="75">
        <f>SUM($C$5:C6)</f>
        <v>0</v>
      </c>
    </row>
    <row r="7" spans="1:14" ht="15.75" customHeight="1" x14ac:dyDescent="0.25">
      <c r="A7" s="71">
        <v>46115</v>
      </c>
      <c r="B7" s="72" t="s">
        <v>188</v>
      </c>
      <c r="C7" s="65"/>
      <c r="D7" s="65"/>
      <c r="E7" s="65"/>
      <c r="F7" s="68" t="str">
        <f t="shared" si="0"/>
        <v>-</v>
      </c>
      <c r="G7" s="65"/>
      <c r="H7" s="9" t="str">
        <f t="shared" si="1"/>
        <v>-</v>
      </c>
      <c r="I7" s="65"/>
      <c r="J7" s="9" t="str">
        <f t="shared" si="2"/>
        <v>-</v>
      </c>
      <c r="K7" s="66" t="str">
        <f t="shared" si="3"/>
        <v>-</v>
      </c>
      <c r="L7" s="73"/>
      <c r="M7" s="74"/>
      <c r="N7" s="75">
        <f>SUM($C$5:C7)</f>
        <v>0</v>
      </c>
    </row>
    <row r="8" spans="1:14" ht="15.75" customHeight="1" x14ac:dyDescent="0.25">
      <c r="A8" s="81">
        <v>46116</v>
      </c>
      <c r="B8" s="82" t="s">
        <v>189</v>
      </c>
      <c r="C8" s="65"/>
      <c r="D8" s="65"/>
      <c r="E8" s="65"/>
      <c r="F8" s="83" t="str">
        <f t="shared" si="0"/>
        <v>-</v>
      </c>
      <c r="G8" s="65"/>
      <c r="H8" s="84" t="str">
        <f t="shared" si="1"/>
        <v>-</v>
      </c>
      <c r="I8" s="65"/>
      <c r="J8" s="84" t="str">
        <f t="shared" si="2"/>
        <v>-</v>
      </c>
      <c r="K8" s="85" t="str">
        <f t="shared" si="3"/>
        <v>-</v>
      </c>
      <c r="L8" s="73"/>
      <c r="M8" s="74"/>
      <c r="N8" s="75">
        <f>SUM($C$5:C8)</f>
        <v>0</v>
      </c>
    </row>
    <row r="9" spans="1:14" ht="15.75" customHeight="1" x14ac:dyDescent="0.25">
      <c r="A9" s="81">
        <v>46117</v>
      </c>
      <c r="B9" s="82" t="s">
        <v>190</v>
      </c>
      <c r="C9" s="65"/>
      <c r="D9" s="65"/>
      <c r="E9" s="65"/>
      <c r="F9" s="83" t="str">
        <f t="shared" si="0"/>
        <v>-</v>
      </c>
      <c r="G9" s="65"/>
      <c r="H9" s="84" t="str">
        <f t="shared" si="1"/>
        <v>-</v>
      </c>
      <c r="I9" s="65"/>
      <c r="J9" s="84" t="str">
        <f t="shared" si="2"/>
        <v>-</v>
      </c>
      <c r="K9" s="85" t="str">
        <f t="shared" si="3"/>
        <v>-</v>
      </c>
      <c r="L9" s="73"/>
      <c r="M9" s="74"/>
      <c r="N9" s="75">
        <f>SUM($C$5:C9)</f>
        <v>0</v>
      </c>
    </row>
    <row r="10" spans="1:14" ht="15.75" customHeight="1" x14ac:dyDescent="0.25">
      <c r="A10" s="76">
        <v>46118</v>
      </c>
      <c r="B10" s="77" t="s">
        <v>191</v>
      </c>
      <c r="C10" s="65"/>
      <c r="D10" s="65"/>
      <c r="E10" s="65"/>
      <c r="F10" s="78" t="str">
        <f t="shared" si="0"/>
        <v>-</v>
      </c>
      <c r="G10" s="65"/>
      <c r="H10" s="79" t="str">
        <f t="shared" si="1"/>
        <v>-</v>
      </c>
      <c r="I10" s="65"/>
      <c r="J10" s="79" t="str">
        <f t="shared" si="2"/>
        <v>-</v>
      </c>
      <c r="K10" s="80" t="str">
        <f t="shared" si="3"/>
        <v>-</v>
      </c>
      <c r="L10" s="73"/>
      <c r="M10" s="74"/>
      <c r="N10" s="75">
        <f>SUM($C$5:C10)</f>
        <v>0</v>
      </c>
    </row>
    <row r="11" spans="1:14" ht="15.75" customHeight="1" x14ac:dyDescent="0.25">
      <c r="A11" s="71">
        <v>46119</v>
      </c>
      <c r="B11" s="72" t="s">
        <v>192</v>
      </c>
      <c r="C11" s="65"/>
      <c r="D11" s="65"/>
      <c r="E11" s="65"/>
      <c r="F11" s="68" t="str">
        <f t="shared" si="0"/>
        <v>-</v>
      </c>
      <c r="G11" s="65"/>
      <c r="H11" s="9" t="str">
        <f t="shared" si="1"/>
        <v>-</v>
      </c>
      <c r="I11" s="65"/>
      <c r="J11" s="9" t="str">
        <f t="shared" si="2"/>
        <v>-</v>
      </c>
      <c r="K11" s="66" t="str">
        <f t="shared" si="3"/>
        <v>-</v>
      </c>
      <c r="L11" s="73"/>
      <c r="M11" s="74"/>
      <c r="N11" s="75">
        <f>SUM($C$5:C11)</f>
        <v>0</v>
      </c>
    </row>
    <row r="12" spans="1:14" ht="15.75" customHeight="1" x14ac:dyDescent="0.25">
      <c r="A12" s="76">
        <v>46120</v>
      </c>
      <c r="B12" s="77" t="s">
        <v>186</v>
      </c>
      <c r="C12" s="65"/>
      <c r="D12" s="65"/>
      <c r="E12" s="65"/>
      <c r="F12" s="78" t="str">
        <f t="shared" si="0"/>
        <v>-</v>
      </c>
      <c r="G12" s="65"/>
      <c r="H12" s="79" t="str">
        <f t="shared" si="1"/>
        <v>-</v>
      </c>
      <c r="I12" s="65"/>
      <c r="J12" s="79" t="str">
        <f t="shared" si="2"/>
        <v>-</v>
      </c>
      <c r="K12" s="80" t="str">
        <f t="shared" si="3"/>
        <v>-</v>
      </c>
      <c r="L12" s="73"/>
      <c r="M12" s="74"/>
      <c r="N12" s="75">
        <f>SUM($C$5:C12)</f>
        <v>0</v>
      </c>
    </row>
    <row r="13" spans="1:14" ht="15.75" customHeight="1" x14ac:dyDescent="0.25">
      <c r="A13" s="71">
        <v>46121</v>
      </c>
      <c r="B13" s="72" t="s">
        <v>187</v>
      </c>
      <c r="C13" s="65"/>
      <c r="D13" s="65"/>
      <c r="E13" s="65"/>
      <c r="F13" s="68" t="str">
        <f t="shared" si="0"/>
        <v>-</v>
      </c>
      <c r="G13" s="65"/>
      <c r="H13" s="9" t="str">
        <f t="shared" si="1"/>
        <v>-</v>
      </c>
      <c r="I13" s="65"/>
      <c r="J13" s="9" t="str">
        <f t="shared" si="2"/>
        <v>-</v>
      </c>
      <c r="K13" s="66" t="str">
        <f t="shared" si="3"/>
        <v>-</v>
      </c>
      <c r="L13" s="73"/>
      <c r="M13" s="74"/>
      <c r="N13" s="75">
        <f>SUM($C$5:C13)</f>
        <v>0</v>
      </c>
    </row>
    <row r="14" spans="1:14" ht="15.75" customHeight="1" x14ac:dyDescent="0.25">
      <c r="A14" s="76">
        <v>46122</v>
      </c>
      <c r="B14" s="77" t="s">
        <v>188</v>
      </c>
      <c r="C14" s="65"/>
      <c r="D14" s="65"/>
      <c r="E14" s="65"/>
      <c r="F14" s="78" t="str">
        <f t="shared" si="0"/>
        <v>-</v>
      </c>
      <c r="G14" s="65"/>
      <c r="H14" s="79" t="str">
        <f t="shared" si="1"/>
        <v>-</v>
      </c>
      <c r="I14" s="65"/>
      <c r="J14" s="79" t="str">
        <f t="shared" si="2"/>
        <v>-</v>
      </c>
      <c r="K14" s="80" t="str">
        <f t="shared" si="3"/>
        <v>-</v>
      </c>
      <c r="L14" s="73"/>
      <c r="M14" s="74"/>
      <c r="N14" s="75">
        <f>SUM($C$5:C14)</f>
        <v>0</v>
      </c>
    </row>
    <row r="15" spans="1:14" ht="15.75" customHeight="1" x14ac:dyDescent="0.25">
      <c r="A15" s="81">
        <v>46123</v>
      </c>
      <c r="B15" s="82" t="s">
        <v>189</v>
      </c>
      <c r="C15" s="65"/>
      <c r="D15" s="65"/>
      <c r="E15" s="65"/>
      <c r="F15" s="83" t="str">
        <f t="shared" si="0"/>
        <v>-</v>
      </c>
      <c r="G15" s="65"/>
      <c r="H15" s="84" t="str">
        <f t="shared" si="1"/>
        <v>-</v>
      </c>
      <c r="I15" s="65"/>
      <c r="J15" s="84" t="str">
        <f t="shared" si="2"/>
        <v>-</v>
      </c>
      <c r="K15" s="85" t="str">
        <f t="shared" si="3"/>
        <v>-</v>
      </c>
      <c r="L15" s="73"/>
      <c r="M15" s="74"/>
      <c r="N15" s="75">
        <f>SUM($C$5:C15)</f>
        <v>0</v>
      </c>
    </row>
    <row r="16" spans="1:14" ht="15.75" customHeight="1" x14ac:dyDescent="0.25">
      <c r="A16" s="81">
        <v>46124</v>
      </c>
      <c r="B16" s="82" t="s">
        <v>190</v>
      </c>
      <c r="C16" s="65"/>
      <c r="D16" s="65"/>
      <c r="E16" s="65"/>
      <c r="F16" s="83" t="str">
        <f t="shared" si="0"/>
        <v>-</v>
      </c>
      <c r="G16" s="65"/>
      <c r="H16" s="84" t="str">
        <f t="shared" si="1"/>
        <v>-</v>
      </c>
      <c r="I16" s="65"/>
      <c r="J16" s="84" t="str">
        <f t="shared" si="2"/>
        <v>-</v>
      </c>
      <c r="K16" s="85" t="str">
        <f t="shared" si="3"/>
        <v>-</v>
      </c>
      <c r="L16" s="73"/>
      <c r="M16" s="74"/>
      <c r="N16" s="75">
        <f>SUM($C$5:C16)</f>
        <v>0</v>
      </c>
    </row>
    <row r="17" spans="1:14" ht="15.75" customHeight="1" x14ac:dyDescent="0.25">
      <c r="A17" s="71">
        <v>46125</v>
      </c>
      <c r="B17" s="72" t="s">
        <v>191</v>
      </c>
      <c r="C17" s="65"/>
      <c r="D17" s="65"/>
      <c r="E17" s="65"/>
      <c r="F17" s="68" t="str">
        <f t="shared" si="0"/>
        <v>-</v>
      </c>
      <c r="G17" s="65"/>
      <c r="H17" s="9" t="str">
        <f t="shared" si="1"/>
        <v>-</v>
      </c>
      <c r="I17" s="65"/>
      <c r="J17" s="9" t="str">
        <f t="shared" si="2"/>
        <v>-</v>
      </c>
      <c r="K17" s="66" t="str">
        <f t="shared" si="3"/>
        <v>-</v>
      </c>
      <c r="L17" s="73"/>
      <c r="M17" s="74"/>
      <c r="N17" s="75">
        <f>SUM($C$5:C17)</f>
        <v>0</v>
      </c>
    </row>
    <row r="18" spans="1:14" ht="15.75" customHeight="1" x14ac:dyDescent="0.25">
      <c r="A18" s="76">
        <v>46126</v>
      </c>
      <c r="B18" s="77" t="s">
        <v>192</v>
      </c>
      <c r="C18" s="65"/>
      <c r="D18" s="65"/>
      <c r="E18" s="65"/>
      <c r="F18" s="78" t="str">
        <f t="shared" si="0"/>
        <v>-</v>
      </c>
      <c r="G18" s="65"/>
      <c r="H18" s="79" t="str">
        <f t="shared" si="1"/>
        <v>-</v>
      </c>
      <c r="I18" s="65"/>
      <c r="J18" s="79" t="str">
        <f t="shared" si="2"/>
        <v>-</v>
      </c>
      <c r="K18" s="80" t="str">
        <f t="shared" si="3"/>
        <v>-</v>
      </c>
      <c r="L18" s="73"/>
      <c r="M18" s="74"/>
      <c r="N18" s="75">
        <f>SUM($C$5:C18)</f>
        <v>0</v>
      </c>
    </row>
    <row r="19" spans="1:14" ht="15.75" customHeight="1" x14ac:dyDescent="0.25">
      <c r="A19" s="71">
        <v>46127</v>
      </c>
      <c r="B19" s="72" t="s">
        <v>186</v>
      </c>
      <c r="C19" s="65"/>
      <c r="D19" s="65"/>
      <c r="E19" s="65"/>
      <c r="F19" s="68" t="str">
        <f t="shared" si="0"/>
        <v>-</v>
      </c>
      <c r="G19" s="65"/>
      <c r="H19" s="9" t="str">
        <f t="shared" si="1"/>
        <v>-</v>
      </c>
      <c r="I19" s="65"/>
      <c r="J19" s="9" t="str">
        <f t="shared" si="2"/>
        <v>-</v>
      </c>
      <c r="K19" s="66" t="str">
        <f t="shared" si="3"/>
        <v>-</v>
      </c>
      <c r="L19" s="73"/>
      <c r="M19" s="74"/>
      <c r="N19" s="75">
        <f>SUM($C$5:C19)</f>
        <v>0</v>
      </c>
    </row>
    <row r="20" spans="1:14" ht="15.75" customHeight="1" x14ac:dyDescent="0.25">
      <c r="A20" s="76">
        <v>46128</v>
      </c>
      <c r="B20" s="77" t="s">
        <v>187</v>
      </c>
      <c r="C20" s="65"/>
      <c r="D20" s="65"/>
      <c r="E20" s="65"/>
      <c r="F20" s="78" t="str">
        <f t="shared" si="0"/>
        <v>-</v>
      </c>
      <c r="G20" s="65"/>
      <c r="H20" s="79" t="str">
        <f t="shared" si="1"/>
        <v>-</v>
      </c>
      <c r="I20" s="65"/>
      <c r="J20" s="79" t="str">
        <f t="shared" si="2"/>
        <v>-</v>
      </c>
      <c r="K20" s="80" t="str">
        <f t="shared" si="3"/>
        <v>-</v>
      </c>
      <c r="L20" s="73"/>
      <c r="M20" s="74"/>
      <c r="N20" s="75">
        <f>SUM($C$5:C20)</f>
        <v>0</v>
      </c>
    </row>
    <row r="21" spans="1:14" ht="15.75" customHeight="1" x14ac:dyDescent="0.25">
      <c r="A21" s="71">
        <v>46129</v>
      </c>
      <c r="B21" s="72" t="s">
        <v>188</v>
      </c>
      <c r="C21" s="65"/>
      <c r="D21" s="65"/>
      <c r="E21" s="65"/>
      <c r="F21" s="68" t="str">
        <f t="shared" si="0"/>
        <v>-</v>
      </c>
      <c r="G21" s="65"/>
      <c r="H21" s="9" t="str">
        <f t="shared" si="1"/>
        <v>-</v>
      </c>
      <c r="I21" s="65"/>
      <c r="J21" s="9" t="str">
        <f t="shared" si="2"/>
        <v>-</v>
      </c>
      <c r="K21" s="66" t="str">
        <f t="shared" si="3"/>
        <v>-</v>
      </c>
      <c r="L21" s="73"/>
      <c r="M21" s="74"/>
      <c r="N21" s="75">
        <f>SUM($C$5:C21)</f>
        <v>0</v>
      </c>
    </row>
    <row r="22" spans="1:14" ht="15.75" customHeight="1" x14ac:dyDescent="0.25">
      <c r="A22" s="81">
        <v>46130</v>
      </c>
      <c r="B22" s="82" t="s">
        <v>189</v>
      </c>
      <c r="C22" s="65"/>
      <c r="D22" s="65"/>
      <c r="E22" s="65"/>
      <c r="F22" s="83" t="str">
        <f t="shared" si="0"/>
        <v>-</v>
      </c>
      <c r="G22" s="65"/>
      <c r="H22" s="84" t="str">
        <f t="shared" si="1"/>
        <v>-</v>
      </c>
      <c r="I22" s="65"/>
      <c r="J22" s="84" t="str">
        <f t="shared" si="2"/>
        <v>-</v>
      </c>
      <c r="K22" s="85" t="str">
        <f t="shared" si="3"/>
        <v>-</v>
      </c>
      <c r="L22" s="73"/>
      <c r="M22" s="74"/>
      <c r="N22" s="75">
        <f>SUM($C$5:C22)</f>
        <v>0</v>
      </c>
    </row>
    <row r="23" spans="1:14" ht="15.75" customHeight="1" x14ac:dyDescent="0.25">
      <c r="A23" s="81">
        <v>46131</v>
      </c>
      <c r="B23" s="82" t="s">
        <v>190</v>
      </c>
      <c r="C23" s="65"/>
      <c r="D23" s="65"/>
      <c r="E23" s="65"/>
      <c r="F23" s="83" t="str">
        <f t="shared" si="0"/>
        <v>-</v>
      </c>
      <c r="G23" s="65"/>
      <c r="H23" s="84" t="str">
        <f t="shared" si="1"/>
        <v>-</v>
      </c>
      <c r="I23" s="65"/>
      <c r="J23" s="84" t="str">
        <f t="shared" si="2"/>
        <v>-</v>
      </c>
      <c r="K23" s="85" t="str">
        <f t="shared" si="3"/>
        <v>-</v>
      </c>
      <c r="L23" s="73"/>
      <c r="M23" s="74"/>
      <c r="N23" s="75">
        <f>SUM($C$5:C23)</f>
        <v>0</v>
      </c>
    </row>
    <row r="24" spans="1:14" ht="15.75" customHeight="1" x14ac:dyDescent="0.25">
      <c r="A24" s="76">
        <v>46132</v>
      </c>
      <c r="B24" s="77" t="s">
        <v>191</v>
      </c>
      <c r="C24" s="65"/>
      <c r="D24" s="65"/>
      <c r="E24" s="65"/>
      <c r="F24" s="78" t="str">
        <f t="shared" si="0"/>
        <v>-</v>
      </c>
      <c r="G24" s="65"/>
      <c r="H24" s="79" t="str">
        <f t="shared" si="1"/>
        <v>-</v>
      </c>
      <c r="I24" s="65"/>
      <c r="J24" s="79" t="str">
        <f t="shared" si="2"/>
        <v>-</v>
      </c>
      <c r="K24" s="80" t="str">
        <f t="shared" si="3"/>
        <v>-</v>
      </c>
      <c r="L24" s="73"/>
      <c r="M24" s="74"/>
      <c r="N24" s="75">
        <f>SUM($C$5:C24)</f>
        <v>0</v>
      </c>
    </row>
    <row r="25" spans="1:14" ht="15.75" customHeight="1" x14ac:dyDescent="0.25">
      <c r="A25" s="71">
        <v>46133</v>
      </c>
      <c r="B25" s="72" t="s">
        <v>192</v>
      </c>
      <c r="C25" s="65"/>
      <c r="D25" s="65"/>
      <c r="E25" s="65"/>
      <c r="F25" s="68" t="str">
        <f t="shared" si="0"/>
        <v>-</v>
      </c>
      <c r="G25" s="65"/>
      <c r="H25" s="9" t="str">
        <f t="shared" si="1"/>
        <v>-</v>
      </c>
      <c r="I25" s="65"/>
      <c r="J25" s="9" t="str">
        <f t="shared" si="2"/>
        <v>-</v>
      </c>
      <c r="K25" s="66" t="str">
        <f t="shared" si="3"/>
        <v>-</v>
      </c>
      <c r="L25" s="73"/>
      <c r="M25" s="74"/>
      <c r="N25" s="75">
        <f>SUM($C$5:C25)</f>
        <v>0</v>
      </c>
    </row>
    <row r="26" spans="1:14" ht="15.75" customHeight="1" x14ac:dyDescent="0.25">
      <c r="A26" s="76">
        <v>46134</v>
      </c>
      <c r="B26" s="77" t="s">
        <v>186</v>
      </c>
      <c r="C26" s="65"/>
      <c r="D26" s="65"/>
      <c r="E26" s="65"/>
      <c r="F26" s="78" t="str">
        <f t="shared" si="0"/>
        <v>-</v>
      </c>
      <c r="G26" s="65"/>
      <c r="H26" s="79" t="str">
        <f t="shared" si="1"/>
        <v>-</v>
      </c>
      <c r="I26" s="65"/>
      <c r="J26" s="79" t="str">
        <f t="shared" si="2"/>
        <v>-</v>
      </c>
      <c r="K26" s="80" t="str">
        <f t="shared" si="3"/>
        <v>-</v>
      </c>
      <c r="L26" s="73"/>
      <c r="M26" s="74"/>
      <c r="N26" s="75">
        <f>SUM($C$5:C26)</f>
        <v>0</v>
      </c>
    </row>
    <row r="27" spans="1:14" ht="15.75" customHeight="1" x14ac:dyDescent="0.25">
      <c r="A27" s="71">
        <v>46135</v>
      </c>
      <c r="B27" s="72" t="s">
        <v>187</v>
      </c>
      <c r="C27" s="65"/>
      <c r="D27" s="65"/>
      <c r="E27" s="65"/>
      <c r="F27" s="68" t="str">
        <f t="shared" si="0"/>
        <v>-</v>
      </c>
      <c r="G27" s="65"/>
      <c r="H27" s="9" t="str">
        <f t="shared" si="1"/>
        <v>-</v>
      </c>
      <c r="I27" s="65"/>
      <c r="J27" s="9" t="str">
        <f t="shared" si="2"/>
        <v>-</v>
      </c>
      <c r="K27" s="66" t="str">
        <f t="shared" si="3"/>
        <v>-</v>
      </c>
      <c r="L27" s="73"/>
      <c r="M27" s="74"/>
      <c r="N27" s="75">
        <f>SUM($C$5:C27)</f>
        <v>0</v>
      </c>
    </row>
    <row r="28" spans="1:14" ht="15.75" customHeight="1" x14ac:dyDescent="0.25">
      <c r="A28" s="76">
        <v>46136</v>
      </c>
      <c r="B28" s="77" t="s">
        <v>188</v>
      </c>
      <c r="C28" s="65"/>
      <c r="D28" s="65"/>
      <c r="E28" s="65"/>
      <c r="F28" s="78" t="str">
        <f t="shared" si="0"/>
        <v>-</v>
      </c>
      <c r="G28" s="65"/>
      <c r="H28" s="79" t="str">
        <f t="shared" si="1"/>
        <v>-</v>
      </c>
      <c r="I28" s="65"/>
      <c r="J28" s="79" t="str">
        <f t="shared" si="2"/>
        <v>-</v>
      </c>
      <c r="K28" s="80" t="str">
        <f t="shared" si="3"/>
        <v>-</v>
      </c>
      <c r="L28" s="73"/>
      <c r="M28" s="74"/>
      <c r="N28" s="75">
        <f>SUM($C$5:C28)</f>
        <v>0</v>
      </c>
    </row>
    <row r="29" spans="1:14" ht="15.75" customHeight="1" x14ac:dyDescent="0.25">
      <c r="A29" s="81">
        <v>46137</v>
      </c>
      <c r="B29" s="82" t="s">
        <v>189</v>
      </c>
      <c r="C29" s="65"/>
      <c r="D29" s="65"/>
      <c r="E29" s="65"/>
      <c r="F29" s="83" t="str">
        <f t="shared" si="0"/>
        <v>-</v>
      </c>
      <c r="G29" s="65"/>
      <c r="H29" s="84" t="str">
        <f t="shared" si="1"/>
        <v>-</v>
      </c>
      <c r="I29" s="65"/>
      <c r="J29" s="84" t="str">
        <f t="shared" si="2"/>
        <v>-</v>
      </c>
      <c r="K29" s="85" t="str">
        <f t="shared" si="3"/>
        <v>-</v>
      </c>
      <c r="L29" s="73"/>
      <c r="M29" s="74"/>
      <c r="N29" s="75">
        <f>SUM($C$5:C29)</f>
        <v>0</v>
      </c>
    </row>
    <row r="30" spans="1:14" ht="15.75" customHeight="1" x14ac:dyDescent="0.25">
      <c r="A30" s="81">
        <v>46138</v>
      </c>
      <c r="B30" s="82" t="s">
        <v>190</v>
      </c>
      <c r="C30" s="65"/>
      <c r="D30" s="65"/>
      <c r="E30" s="65"/>
      <c r="F30" s="83" t="str">
        <f t="shared" si="0"/>
        <v>-</v>
      </c>
      <c r="G30" s="65"/>
      <c r="H30" s="84" t="str">
        <f t="shared" si="1"/>
        <v>-</v>
      </c>
      <c r="I30" s="65"/>
      <c r="J30" s="84" t="str">
        <f t="shared" si="2"/>
        <v>-</v>
      </c>
      <c r="K30" s="85" t="str">
        <f t="shared" si="3"/>
        <v>-</v>
      </c>
      <c r="L30" s="73"/>
      <c r="M30" s="74"/>
      <c r="N30" s="75">
        <f>SUM($C$5:C30)</f>
        <v>0</v>
      </c>
    </row>
    <row r="31" spans="1:14" ht="15.75" customHeight="1" x14ac:dyDescent="0.25">
      <c r="A31" s="71">
        <v>46139</v>
      </c>
      <c r="B31" s="72" t="s">
        <v>191</v>
      </c>
      <c r="C31" s="65"/>
      <c r="D31" s="65"/>
      <c r="E31" s="65"/>
      <c r="F31" s="68" t="str">
        <f t="shared" si="0"/>
        <v>-</v>
      </c>
      <c r="G31" s="65"/>
      <c r="H31" s="9" t="str">
        <f t="shared" si="1"/>
        <v>-</v>
      </c>
      <c r="I31" s="65"/>
      <c r="J31" s="9" t="str">
        <f t="shared" si="2"/>
        <v>-</v>
      </c>
      <c r="K31" s="66" t="str">
        <f t="shared" si="3"/>
        <v>-</v>
      </c>
      <c r="L31" s="73"/>
      <c r="M31" s="74"/>
      <c r="N31" s="75">
        <f>SUM($C$5:C31)</f>
        <v>0</v>
      </c>
    </row>
    <row r="32" spans="1:14" ht="15.75" customHeight="1" x14ac:dyDescent="0.25">
      <c r="A32" s="76">
        <v>46140</v>
      </c>
      <c r="B32" s="77" t="s">
        <v>192</v>
      </c>
      <c r="C32" s="65"/>
      <c r="D32" s="65"/>
      <c r="E32" s="65"/>
      <c r="F32" s="78" t="str">
        <f t="shared" si="0"/>
        <v>-</v>
      </c>
      <c r="G32" s="65"/>
      <c r="H32" s="79" t="str">
        <f t="shared" si="1"/>
        <v>-</v>
      </c>
      <c r="I32" s="65"/>
      <c r="J32" s="79" t="str">
        <f t="shared" si="2"/>
        <v>-</v>
      </c>
      <c r="K32" s="80" t="str">
        <f t="shared" si="3"/>
        <v>-</v>
      </c>
      <c r="L32" s="73"/>
      <c r="M32" s="74"/>
      <c r="N32" s="75">
        <f>SUM($C$5:C32)</f>
        <v>0</v>
      </c>
    </row>
    <row r="33" spans="1:14" ht="15.75" customHeight="1" x14ac:dyDescent="0.25">
      <c r="A33" s="71">
        <v>46141</v>
      </c>
      <c r="B33" s="72" t="s">
        <v>186</v>
      </c>
      <c r="C33" s="65"/>
      <c r="D33" s="65"/>
      <c r="E33" s="65"/>
      <c r="F33" s="68" t="str">
        <f t="shared" si="0"/>
        <v>-</v>
      </c>
      <c r="G33" s="65"/>
      <c r="H33" s="9" t="str">
        <f t="shared" si="1"/>
        <v>-</v>
      </c>
      <c r="I33" s="65"/>
      <c r="J33" s="9" t="str">
        <f t="shared" si="2"/>
        <v>-</v>
      </c>
      <c r="K33" s="66" t="str">
        <f t="shared" si="3"/>
        <v>-</v>
      </c>
      <c r="L33" s="73"/>
      <c r="M33" s="74"/>
      <c r="N33" s="75">
        <f>SUM($C$5:C33)</f>
        <v>0</v>
      </c>
    </row>
    <row r="34" spans="1:14" ht="15.75" customHeight="1" x14ac:dyDescent="0.25">
      <c r="A34" s="76">
        <v>46142</v>
      </c>
      <c r="B34" s="77" t="s">
        <v>187</v>
      </c>
      <c r="C34" s="65"/>
      <c r="D34" s="65"/>
      <c r="E34" s="65"/>
      <c r="F34" s="78" t="str">
        <f t="shared" si="0"/>
        <v>-</v>
      </c>
      <c r="G34" s="65"/>
      <c r="H34" s="79" t="str">
        <f t="shared" si="1"/>
        <v>-</v>
      </c>
      <c r="I34" s="65"/>
      <c r="J34" s="79" t="str">
        <f t="shared" si="2"/>
        <v>-</v>
      </c>
      <c r="K34" s="80" t="str">
        <f t="shared" si="3"/>
        <v>-</v>
      </c>
      <c r="L34" s="73"/>
      <c r="M34" s="74"/>
      <c r="N34" s="75">
        <f>SUM($C$5:C34)</f>
        <v>0</v>
      </c>
    </row>
    <row r="35" spans="1:14" ht="21.75" customHeight="1" x14ac:dyDescent="0.25">
      <c r="A35" s="126" t="s">
        <v>193</v>
      </c>
      <c r="B35" s="126"/>
      <c r="C35" s="86">
        <f>SUM(C5:C34)</f>
        <v>0</v>
      </c>
      <c r="D35" s="86">
        <f>SUM(D5:D34)</f>
        <v>0</v>
      </c>
      <c r="E35" s="86">
        <f>SUM(E5:E34)</f>
        <v>0</v>
      </c>
      <c r="F35" s="87" t="str">
        <f t="shared" si="0"/>
        <v>-</v>
      </c>
      <c r="G35" s="86">
        <f>SUM(G5:G34)</f>
        <v>0</v>
      </c>
      <c r="H35" s="88" t="str">
        <f t="shared" si="1"/>
        <v>-</v>
      </c>
      <c r="I35" s="86">
        <f>SUM(I5:I34)</f>
        <v>108</v>
      </c>
      <c r="J35" s="88" t="str">
        <f t="shared" si="2"/>
        <v>-</v>
      </c>
      <c r="K35" s="89">
        <f t="shared" si="3"/>
        <v>0</v>
      </c>
      <c r="L35" s="126" t="s">
        <v>194</v>
      </c>
      <c r="M35" s="126"/>
      <c r="N35" s="90" t="str">
        <f>IFERROR(C35/'📊 ANUAL MKTPLACES'!E9,"-")</f>
        <v>-</v>
      </c>
    </row>
    <row r="37" spans="1:14" ht="25.5" customHeight="1" x14ac:dyDescent="0.25">
      <c r="A37" s="125" t="s">
        <v>195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91">
        <f>IFERROR('📊 ANUAL MKTPLACES'!F9,0)</f>
        <v>0</v>
      </c>
    </row>
    <row r="38" spans="1:14" ht="19.5" customHeight="1" x14ac:dyDescent="0.25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180</v>
      </c>
      <c r="H38" s="1" t="s">
        <v>181</v>
      </c>
      <c r="I38" s="1" t="s">
        <v>182</v>
      </c>
      <c r="J38" s="1" t="s">
        <v>23</v>
      </c>
      <c r="K38" s="1" t="s">
        <v>164</v>
      </c>
      <c r="L38" s="1" t="s">
        <v>183</v>
      </c>
      <c r="M38" s="1" t="s">
        <v>184</v>
      </c>
      <c r="N38" s="1" t="s">
        <v>185</v>
      </c>
    </row>
    <row r="39" spans="1:14" ht="15.75" customHeight="1" x14ac:dyDescent="0.25">
      <c r="A39" s="71">
        <v>46143</v>
      </c>
      <c r="B39" s="72" t="s">
        <v>188</v>
      </c>
      <c r="C39" s="65"/>
      <c r="D39" s="65"/>
      <c r="E39" s="65"/>
      <c r="F39" s="68" t="str">
        <f t="shared" ref="F39:F70" si="4">IFERROR(C39/E39,"-")</f>
        <v>-</v>
      </c>
      <c r="G39" s="65"/>
      <c r="H39" s="9" t="str">
        <f t="shared" ref="H39:H70" si="5">IFERROR(E39/G39,"-")</f>
        <v>-</v>
      </c>
      <c r="I39" s="65"/>
      <c r="J39" s="9" t="str">
        <f t="shared" ref="J39:J70" si="6">IFERROR(I39/C39,"-")</f>
        <v>-</v>
      </c>
      <c r="K39" s="66" t="str">
        <f t="shared" ref="K39:K70" si="7">IFERROR(C39/I39,"-")</f>
        <v>-</v>
      </c>
      <c r="L39" s="73"/>
      <c r="M39" s="74"/>
      <c r="N39" s="75">
        <f>SUM($C$39:C39)</f>
        <v>0</v>
      </c>
    </row>
    <row r="40" spans="1:14" ht="15.75" customHeight="1" x14ac:dyDescent="0.25">
      <c r="A40" s="81">
        <v>46144</v>
      </c>
      <c r="B40" s="82" t="s">
        <v>189</v>
      </c>
      <c r="C40" s="65"/>
      <c r="D40" s="65"/>
      <c r="E40" s="65"/>
      <c r="F40" s="83" t="str">
        <f t="shared" si="4"/>
        <v>-</v>
      </c>
      <c r="G40" s="65"/>
      <c r="H40" s="84" t="str">
        <f t="shared" si="5"/>
        <v>-</v>
      </c>
      <c r="I40" s="65"/>
      <c r="J40" s="84" t="str">
        <f t="shared" si="6"/>
        <v>-</v>
      </c>
      <c r="K40" s="85" t="str">
        <f t="shared" si="7"/>
        <v>-</v>
      </c>
      <c r="L40" s="73"/>
      <c r="M40" s="74"/>
      <c r="N40" s="75">
        <f>SUM($C$39:C40)</f>
        <v>0</v>
      </c>
    </row>
    <row r="41" spans="1:14" ht="15.75" customHeight="1" x14ac:dyDescent="0.25">
      <c r="A41" s="81">
        <v>46145</v>
      </c>
      <c r="B41" s="82" t="s">
        <v>190</v>
      </c>
      <c r="C41" s="65"/>
      <c r="D41" s="65"/>
      <c r="E41" s="65"/>
      <c r="F41" s="83" t="str">
        <f t="shared" si="4"/>
        <v>-</v>
      </c>
      <c r="G41" s="65"/>
      <c r="H41" s="84" t="str">
        <f t="shared" si="5"/>
        <v>-</v>
      </c>
      <c r="I41" s="65"/>
      <c r="J41" s="84" t="str">
        <f t="shared" si="6"/>
        <v>-</v>
      </c>
      <c r="K41" s="85" t="str">
        <f t="shared" si="7"/>
        <v>-</v>
      </c>
      <c r="L41" s="73"/>
      <c r="M41" s="74"/>
      <c r="N41" s="75">
        <f>SUM($C$39:C41)</f>
        <v>0</v>
      </c>
    </row>
    <row r="42" spans="1:14" ht="15.75" customHeight="1" x14ac:dyDescent="0.25">
      <c r="A42" s="76">
        <v>46146</v>
      </c>
      <c r="B42" s="77" t="s">
        <v>191</v>
      </c>
      <c r="C42" s="65"/>
      <c r="D42" s="65"/>
      <c r="E42" s="65"/>
      <c r="F42" s="78" t="str">
        <f t="shared" si="4"/>
        <v>-</v>
      </c>
      <c r="G42" s="65"/>
      <c r="H42" s="79" t="str">
        <f t="shared" si="5"/>
        <v>-</v>
      </c>
      <c r="I42" s="65"/>
      <c r="J42" s="79" t="str">
        <f t="shared" si="6"/>
        <v>-</v>
      </c>
      <c r="K42" s="80" t="str">
        <f t="shared" si="7"/>
        <v>-</v>
      </c>
      <c r="L42" s="73"/>
      <c r="M42" s="74"/>
      <c r="N42" s="75">
        <f>SUM($C$39:C42)</f>
        <v>0</v>
      </c>
    </row>
    <row r="43" spans="1:14" ht="15.75" customHeight="1" x14ac:dyDescent="0.25">
      <c r="A43" s="71">
        <v>46147</v>
      </c>
      <c r="B43" s="72" t="s">
        <v>192</v>
      </c>
      <c r="C43" s="65"/>
      <c r="D43" s="65"/>
      <c r="E43" s="65"/>
      <c r="F43" s="68" t="str">
        <f t="shared" si="4"/>
        <v>-</v>
      </c>
      <c r="G43" s="65"/>
      <c r="H43" s="9" t="str">
        <f t="shared" si="5"/>
        <v>-</v>
      </c>
      <c r="I43" s="65"/>
      <c r="J43" s="9" t="str">
        <f t="shared" si="6"/>
        <v>-</v>
      </c>
      <c r="K43" s="66" t="str">
        <f t="shared" si="7"/>
        <v>-</v>
      </c>
      <c r="L43" s="73"/>
      <c r="M43" s="74"/>
      <c r="N43" s="75">
        <f>SUM($C$39:C43)</f>
        <v>0</v>
      </c>
    </row>
    <row r="44" spans="1:14" ht="15.75" customHeight="1" x14ac:dyDescent="0.25">
      <c r="A44" s="76">
        <v>46148</v>
      </c>
      <c r="B44" s="77" t="s">
        <v>186</v>
      </c>
      <c r="C44" s="65"/>
      <c r="D44" s="65"/>
      <c r="E44" s="65"/>
      <c r="F44" s="78" t="str">
        <f t="shared" si="4"/>
        <v>-</v>
      </c>
      <c r="G44" s="65"/>
      <c r="H44" s="79" t="str">
        <f t="shared" si="5"/>
        <v>-</v>
      </c>
      <c r="I44" s="65"/>
      <c r="J44" s="79" t="str">
        <f t="shared" si="6"/>
        <v>-</v>
      </c>
      <c r="K44" s="80" t="str">
        <f t="shared" si="7"/>
        <v>-</v>
      </c>
      <c r="L44" s="73"/>
      <c r="M44" s="74"/>
      <c r="N44" s="75">
        <f>SUM($C$39:C44)</f>
        <v>0</v>
      </c>
    </row>
    <row r="45" spans="1:14" ht="15.75" customHeight="1" x14ac:dyDescent="0.25">
      <c r="A45" s="71">
        <v>46149</v>
      </c>
      <c r="B45" s="72" t="s">
        <v>187</v>
      </c>
      <c r="C45" s="65"/>
      <c r="D45" s="65"/>
      <c r="E45" s="65"/>
      <c r="F45" s="68" t="str">
        <f t="shared" si="4"/>
        <v>-</v>
      </c>
      <c r="G45" s="65"/>
      <c r="H45" s="9" t="str">
        <f t="shared" si="5"/>
        <v>-</v>
      </c>
      <c r="I45" s="65"/>
      <c r="J45" s="9" t="str">
        <f t="shared" si="6"/>
        <v>-</v>
      </c>
      <c r="K45" s="66" t="str">
        <f t="shared" si="7"/>
        <v>-</v>
      </c>
      <c r="L45" s="73"/>
      <c r="M45" s="74"/>
      <c r="N45" s="75">
        <f>SUM($C$39:C45)</f>
        <v>0</v>
      </c>
    </row>
    <row r="46" spans="1:14" ht="15.75" customHeight="1" x14ac:dyDescent="0.25">
      <c r="A46" s="76">
        <v>46150</v>
      </c>
      <c r="B46" s="77" t="s">
        <v>188</v>
      </c>
      <c r="C46" s="65"/>
      <c r="D46" s="65"/>
      <c r="E46" s="65"/>
      <c r="F46" s="78" t="str">
        <f t="shared" si="4"/>
        <v>-</v>
      </c>
      <c r="G46" s="65"/>
      <c r="H46" s="79" t="str">
        <f t="shared" si="5"/>
        <v>-</v>
      </c>
      <c r="I46" s="65"/>
      <c r="J46" s="79" t="str">
        <f t="shared" si="6"/>
        <v>-</v>
      </c>
      <c r="K46" s="80" t="str">
        <f t="shared" si="7"/>
        <v>-</v>
      </c>
      <c r="L46" s="73"/>
      <c r="M46" s="74"/>
      <c r="N46" s="75">
        <f>SUM($C$39:C46)</f>
        <v>0</v>
      </c>
    </row>
    <row r="47" spans="1:14" ht="15.75" customHeight="1" x14ac:dyDescent="0.25">
      <c r="A47" s="81">
        <v>46151</v>
      </c>
      <c r="B47" s="82" t="s">
        <v>189</v>
      </c>
      <c r="C47" s="65"/>
      <c r="D47" s="65"/>
      <c r="E47" s="65"/>
      <c r="F47" s="83" t="str">
        <f t="shared" si="4"/>
        <v>-</v>
      </c>
      <c r="G47" s="65"/>
      <c r="H47" s="84" t="str">
        <f t="shared" si="5"/>
        <v>-</v>
      </c>
      <c r="I47" s="65"/>
      <c r="J47" s="84" t="str">
        <f t="shared" si="6"/>
        <v>-</v>
      </c>
      <c r="K47" s="85" t="str">
        <f t="shared" si="7"/>
        <v>-</v>
      </c>
      <c r="L47" s="73"/>
      <c r="M47" s="74"/>
      <c r="N47" s="75">
        <f>SUM($C$39:C47)</f>
        <v>0</v>
      </c>
    </row>
    <row r="48" spans="1:14" ht="15.75" customHeight="1" x14ac:dyDescent="0.25">
      <c r="A48" s="81">
        <v>46152</v>
      </c>
      <c r="B48" s="82" t="s">
        <v>190</v>
      </c>
      <c r="C48" s="65"/>
      <c r="D48" s="65"/>
      <c r="E48" s="65"/>
      <c r="F48" s="83" t="str">
        <f t="shared" si="4"/>
        <v>-</v>
      </c>
      <c r="G48" s="65"/>
      <c r="H48" s="84" t="str">
        <f t="shared" si="5"/>
        <v>-</v>
      </c>
      <c r="I48" s="65"/>
      <c r="J48" s="84" t="str">
        <f t="shared" si="6"/>
        <v>-</v>
      </c>
      <c r="K48" s="85" t="str">
        <f t="shared" si="7"/>
        <v>-</v>
      </c>
      <c r="L48" s="73"/>
      <c r="M48" s="74"/>
      <c r="N48" s="75">
        <f>SUM($C$39:C48)</f>
        <v>0</v>
      </c>
    </row>
    <row r="49" spans="1:14" ht="15.75" customHeight="1" x14ac:dyDescent="0.25">
      <c r="A49" s="71">
        <v>46153</v>
      </c>
      <c r="B49" s="72" t="s">
        <v>191</v>
      </c>
      <c r="C49" s="65"/>
      <c r="D49" s="65"/>
      <c r="E49" s="65"/>
      <c r="F49" s="68" t="str">
        <f t="shared" si="4"/>
        <v>-</v>
      </c>
      <c r="G49" s="65"/>
      <c r="H49" s="9" t="str">
        <f t="shared" si="5"/>
        <v>-</v>
      </c>
      <c r="I49" s="65"/>
      <c r="J49" s="9" t="str">
        <f t="shared" si="6"/>
        <v>-</v>
      </c>
      <c r="K49" s="66" t="str">
        <f t="shared" si="7"/>
        <v>-</v>
      </c>
      <c r="L49" s="73"/>
      <c r="M49" s="74"/>
      <c r="N49" s="75">
        <f>SUM($C$39:C49)</f>
        <v>0</v>
      </c>
    </row>
    <row r="50" spans="1:14" ht="15.75" customHeight="1" x14ac:dyDescent="0.25">
      <c r="A50" s="76">
        <v>46154</v>
      </c>
      <c r="B50" s="77" t="s">
        <v>192</v>
      </c>
      <c r="C50" s="65"/>
      <c r="D50" s="65"/>
      <c r="E50" s="65"/>
      <c r="F50" s="78" t="str">
        <f t="shared" si="4"/>
        <v>-</v>
      </c>
      <c r="G50" s="65"/>
      <c r="H50" s="79" t="str">
        <f t="shared" si="5"/>
        <v>-</v>
      </c>
      <c r="I50" s="65"/>
      <c r="J50" s="79" t="str">
        <f t="shared" si="6"/>
        <v>-</v>
      </c>
      <c r="K50" s="80" t="str">
        <f t="shared" si="7"/>
        <v>-</v>
      </c>
      <c r="L50" s="73"/>
      <c r="M50" s="74"/>
      <c r="N50" s="75">
        <f>SUM($C$39:C50)</f>
        <v>0</v>
      </c>
    </row>
    <row r="51" spans="1:14" ht="15.75" customHeight="1" x14ac:dyDescent="0.25">
      <c r="A51" s="71">
        <v>46155</v>
      </c>
      <c r="B51" s="72" t="s">
        <v>186</v>
      </c>
      <c r="C51" s="65"/>
      <c r="D51" s="65"/>
      <c r="E51" s="65"/>
      <c r="F51" s="68" t="str">
        <f t="shared" si="4"/>
        <v>-</v>
      </c>
      <c r="G51" s="65"/>
      <c r="H51" s="9" t="str">
        <f t="shared" si="5"/>
        <v>-</v>
      </c>
      <c r="I51" s="65"/>
      <c r="J51" s="9" t="str">
        <f t="shared" si="6"/>
        <v>-</v>
      </c>
      <c r="K51" s="66" t="str">
        <f t="shared" si="7"/>
        <v>-</v>
      </c>
      <c r="L51" s="73"/>
      <c r="M51" s="74"/>
      <c r="N51" s="75">
        <f>SUM($C$39:C51)</f>
        <v>0</v>
      </c>
    </row>
    <row r="52" spans="1:14" ht="15.75" customHeight="1" x14ac:dyDescent="0.25">
      <c r="A52" s="76">
        <v>46156</v>
      </c>
      <c r="B52" s="77" t="s">
        <v>187</v>
      </c>
      <c r="C52" s="65"/>
      <c r="D52" s="65"/>
      <c r="E52" s="65"/>
      <c r="F52" s="78" t="str">
        <f t="shared" si="4"/>
        <v>-</v>
      </c>
      <c r="G52" s="65"/>
      <c r="H52" s="79" t="str">
        <f t="shared" si="5"/>
        <v>-</v>
      </c>
      <c r="I52" s="65"/>
      <c r="J52" s="79" t="str">
        <f t="shared" si="6"/>
        <v>-</v>
      </c>
      <c r="K52" s="80" t="str">
        <f t="shared" si="7"/>
        <v>-</v>
      </c>
      <c r="L52" s="73"/>
      <c r="M52" s="74"/>
      <c r="N52" s="75">
        <f>SUM($C$39:C52)</f>
        <v>0</v>
      </c>
    </row>
    <row r="53" spans="1:14" ht="15.75" customHeight="1" x14ac:dyDescent="0.25">
      <c r="A53" s="71">
        <v>46157</v>
      </c>
      <c r="B53" s="72" t="s">
        <v>188</v>
      </c>
      <c r="C53" s="65"/>
      <c r="D53" s="65"/>
      <c r="E53" s="65"/>
      <c r="F53" s="68" t="str">
        <f t="shared" si="4"/>
        <v>-</v>
      </c>
      <c r="G53" s="65"/>
      <c r="H53" s="9" t="str">
        <f t="shared" si="5"/>
        <v>-</v>
      </c>
      <c r="I53" s="65"/>
      <c r="J53" s="9" t="str">
        <f t="shared" si="6"/>
        <v>-</v>
      </c>
      <c r="K53" s="66" t="str">
        <f t="shared" si="7"/>
        <v>-</v>
      </c>
      <c r="L53" s="73"/>
      <c r="M53" s="74"/>
      <c r="N53" s="75">
        <f>SUM($C$39:C53)</f>
        <v>0</v>
      </c>
    </row>
    <row r="54" spans="1:14" ht="15.75" customHeight="1" x14ac:dyDescent="0.25">
      <c r="A54" s="81">
        <v>46158</v>
      </c>
      <c r="B54" s="82" t="s">
        <v>189</v>
      </c>
      <c r="C54" s="65"/>
      <c r="D54" s="65"/>
      <c r="E54" s="65"/>
      <c r="F54" s="83" t="str">
        <f t="shared" si="4"/>
        <v>-</v>
      </c>
      <c r="G54" s="65"/>
      <c r="H54" s="84" t="str">
        <f t="shared" si="5"/>
        <v>-</v>
      </c>
      <c r="I54" s="65"/>
      <c r="J54" s="84" t="str">
        <f t="shared" si="6"/>
        <v>-</v>
      </c>
      <c r="K54" s="85" t="str">
        <f t="shared" si="7"/>
        <v>-</v>
      </c>
      <c r="L54" s="73"/>
      <c r="M54" s="74"/>
      <c r="N54" s="75">
        <f>SUM($C$39:C54)</f>
        <v>0</v>
      </c>
    </row>
    <row r="55" spans="1:14" ht="15.75" customHeight="1" x14ac:dyDescent="0.25">
      <c r="A55" s="81">
        <v>46159</v>
      </c>
      <c r="B55" s="82" t="s">
        <v>190</v>
      </c>
      <c r="C55" s="65"/>
      <c r="D55" s="65"/>
      <c r="E55" s="65"/>
      <c r="F55" s="83" t="str">
        <f t="shared" si="4"/>
        <v>-</v>
      </c>
      <c r="G55" s="65"/>
      <c r="H55" s="84" t="str">
        <f t="shared" si="5"/>
        <v>-</v>
      </c>
      <c r="I55" s="65"/>
      <c r="J55" s="84" t="str">
        <f t="shared" si="6"/>
        <v>-</v>
      </c>
      <c r="K55" s="85" t="str">
        <f t="shared" si="7"/>
        <v>-</v>
      </c>
      <c r="L55" s="73"/>
      <c r="M55" s="74"/>
      <c r="N55" s="75">
        <f>SUM($C$39:C55)</f>
        <v>0</v>
      </c>
    </row>
    <row r="56" spans="1:14" ht="15.75" customHeight="1" x14ac:dyDescent="0.25">
      <c r="A56" s="76">
        <v>46160</v>
      </c>
      <c r="B56" s="77" t="s">
        <v>191</v>
      </c>
      <c r="C56" s="65"/>
      <c r="D56" s="65"/>
      <c r="E56" s="65"/>
      <c r="F56" s="78" t="str">
        <f t="shared" si="4"/>
        <v>-</v>
      </c>
      <c r="G56" s="65"/>
      <c r="H56" s="79" t="str">
        <f t="shared" si="5"/>
        <v>-</v>
      </c>
      <c r="I56" s="65"/>
      <c r="J56" s="79" t="str">
        <f t="shared" si="6"/>
        <v>-</v>
      </c>
      <c r="K56" s="80" t="str">
        <f t="shared" si="7"/>
        <v>-</v>
      </c>
      <c r="L56" s="73"/>
      <c r="M56" s="74"/>
      <c r="N56" s="75">
        <f>SUM($C$39:C56)</f>
        <v>0</v>
      </c>
    </row>
    <row r="57" spans="1:14" ht="15.75" customHeight="1" x14ac:dyDescent="0.25">
      <c r="A57" s="71">
        <v>46161</v>
      </c>
      <c r="B57" s="72" t="s">
        <v>192</v>
      </c>
      <c r="C57" s="65"/>
      <c r="D57" s="65"/>
      <c r="E57" s="65"/>
      <c r="F57" s="68" t="str">
        <f t="shared" si="4"/>
        <v>-</v>
      </c>
      <c r="G57" s="65"/>
      <c r="H57" s="9" t="str">
        <f t="shared" si="5"/>
        <v>-</v>
      </c>
      <c r="I57" s="65"/>
      <c r="J57" s="9" t="str">
        <f t="shared" si="6"/>
        <v>-</v>
      </c>
      <c r="K57" s="66" t="str">
        <f t="shared" si="7"/>
        <v>-</v>
      </c>
      <c r="L57" s="73"/>
      <c r="M57" s="74"/>
      <c r="N57" s="75">
        <f>SUM($C$39:C57)</f>
        <v>0</v>
      </c>
    </row>
    <row r="58" spans="1:14" ht="15.75" customHeight="1" x14ac:dyDescent="0.25">
      <c r="A58" s="76">
        <v>46162</v>
      </c>
      <c r="B58" s="77" t="s">
        <v>186</v>
      </c>
      <c r="C58" s="65"/>
      <c r="D58" s="65"/>
      <c r="E58" s="65"/>
      <c r="F58" s="78" t="str">
        <f t="shared" si="4"/>
        <v>-</v>
      </c>
      <c r="G58" s="65"/>
      <c r="H58" s="79" t="str">
        <f t="shared" si="5"/>
        <v>-</v>
      </c>
      <c r="I58" s="65"/>
      <c r="J58" s="79" t="str">
        <f t="shared" si="6"/>
        <v>-</v>
      </c>
      <c r="K58" s="80" t="str">
        <f t="shared" si="7"/>
        <v>-</v>
      </c>
      <c r="L58" s="73"/>
      <c r="M58" s="74"/>
      <c r="N58" s="75">
        <f>SUM($C$39:C58)</f>
        <v>0</v>
      </c>
    </row>
    <row r="59" spans="1:14" ht="15.75" customHeight="1" x14ac:dyDescent="0.25">
      <c r="A59" s="71">
        <v>46163</v>
      </c>
      <c r="B59" s="72" t="s">
        <v>187</v>
      </c>
      <c r="C59" s="65"/>
      <c r="D59" s="65"/>
      <c r="E59" s="65"/>
      <c r="F59" s="68" t="str">
        <f t="shared" si="4"/>
        <v>-</v>
      </c>
      <c r="G59" s="65"/>
      <c r="H59" s="9" t="str">
        <f t="shared" si="5"/>
        <v>-</v>
      </c>
      <c r="I59" s="65"/>
      <c r="J59" s="9" t="str">
        <f t="shared" si="6"/>
        <v>-</v>
      </c>
      <c r="K59" s="66" t="str">
        <f t="shared" si="7"/>
        <v>-</v>
      </c>
      <c r="L59" s="73"/>
      <c r="M59" s="74"/>
      <c r="N59" s="75">
        <f>SUM($C$39:C59)</f>
        <v>0</v>
      </c>
    </row>
    <row r="60" spans="1:14" ht="15.75" customHeight="1" x14ac:dyDescent="0.25">
      <c r="A60" s="76">
        <v>46164</v>
      </c>
      <c r="B60" s="77" t="s">
        <v>188</v>
      </c>
      <c r="C60" s="65"/>
      <c r="D60" s="65"/>
      <c r="E60" s="65"/>
      <c r="F60" s="78" t="str">
        <f t="shared" si="4"/>
        <v>-</v>
      </c>
      <c r="G60" s="65"/>
      <c r="H60" s="79" t="str">
        <f t="shared" si="5"/>
        <v>-</v>
      </c>
      <c r="I60" s="65"/>
      <c r="J60" s="79" t="str">
        <f t="shared" si="6"/>
        <v>-</v>
      </c>
      <c r="K60" s="80" t="str">
        <f t="shared" si="7"/>
        <v>-</v>
      </c>
      <c r="L60" s="73"/>
      <c r="M60" s="74"/>
      <c r="N60" s="75">
        <f>SUM($C$39:C60)</f>
        <v>0</v>
      </c>
    </row>
    <row r="61" spans="1:14" ht="15.75" customHeight="1" x14ac:dyDescent="0.25">
      <c r="A61" s="81">
        <v>46165</v>
      </c>
      <c r="B61" s="82" t="s">
        <v>189</v>
      </c>
      <c r="C61" s="65"/>
      <c r="D61" s="65"/>
      <c r="E61" s="65"/>
      <c r="F61" s="83" t="str">
        <f t="shared" si="4"/>
        <v>-</v>
      </c>
      <c r="G61" s="65"/>
      <c r="H61" s="84" t="str">
        <f t="shared" si="5"/>
        <v>-</v>
      </c>
      <c r="I61" s="65"/>
      <c r="J61" s="84" t="str">
        <f t="shared" si="6"/>
        <v>-</v>
      </c>
      <c r="K61" s="85" t="str">
        <f t="shared" si="7"/>
        <v>-</v>
      </c>
      <c r="L61" s="73"/>
      <c r="M61" s="74"/>
      <c r="N61" s="75">
        <f>SUM($C$39:C61)</f>
        <v>0</v>
      </c>
    </row>
    <row r="62" spans="1:14" ht="15.75" customHeight="1" x14ac:dyDescent="0.25">
      <c r="A62" s="81">
        <v>46166</v>
      </c>
      <c r="B62" s="82" t="s">
        <v>190</v>
      </c>
      <c r="C62" s="65"/>
      <c r="D62" s="65"/>
      <c r="E62" s="65"/>
      <c r="F62" s="83" t="str">
        <f t="shared" si="4"/>
        <v>-</v>
      </c>
      <c r="G62" s="65"/>
      <c r="H62" s="84" t="str">
        <f t="shared" si="5"/>
        <v>-</v>
      </c>
      <c r="I62" s="65"/>
      <c r="J62" s="84" t="str">
        <f t="shared" si="6"/>
        <v>-</v>
      </c>
      <c r="K62" s="85" t="str">
        <f t="shared" si="7"/>
        <v>-</v>
      </c>
      <c r="L62" s="73"/>
      <c r="M62" s="74"/>
      <c r="N62" s="75">
        <f>SUM($C$39:C62)</f>
        <v>0</v>
      </c>
    </row>
    <row r="63" spans="1:14" ht="15.75" customHeight="1" x14ac:dyDescent="0.25">
      <c r="A63" s="71">
        <v>46167</v>
      </c>
      <c r="B63" s="72" t="s">
        <v>191</v>
      </c>
      <c r="C63" s="65"/>
      <c r="D63" s="65"/>
      <c r="E63" s="65"/>
      <c r="F63" s="68" t="str">
        <f t="shared" si="4"/>
        <v>-</v>
      </c>
      <c r="G63" s="65"/>
      <c r="H63" s="9" t="str">
        <f t="shared" si="5"/>
        <v>-</v>
      </c>
      <c r="I63" s="65"/>
      <c r="J63" s="9" t="str">
        <f t="shared" si="6"/>
        <v>-</v>
      </c>
      <c r="K63" s="66" t="str">
        <f t="shared" si="7"/>
        <v>-</v>
      </c>
      <c r="L63" s="73"/>
      <c r="M63" s="74"/>
      <c r="N63" s="75">
        <f>SUM($C$39:C63)</f>
        <v>0</v>
      </c>
    </row>
    <row r="64" spans="1:14" ht="15.75" customHeight="1" x14ac:dyDescent="0.25">
      <c r="A64" s="76">
        <v>46168</v>
      </c>
      <c r="B64" s="77" t="s">
        <v>192</v>
      </c>
      <c r="C64" s="65"/>
      <c r="D64" s="65"/>
      <c r="E64" s="65"/>
      <c r="F64" s="78" t="str">
        <f t="shared" si="4"/>
        <v>-</v>
      </c>
      <c r="G64" s="65"/>
      <c r="H64" s="79" t="str">
        <f t="shared" si="5"/>
        <v>-</v>
      </c>
      <c r="I64" s="65"/>
      <c r="J64" s="79" t="str">
        <f t="shared" si="6"/>
        <v>-</v>
      </c>
      <c r="K64" s="80" t="str">
        <f t="shared" si="7"/>
        <v>-</v>
      </c>
      <c r="L64" s="73"/>
      <c r="M64" s="74"/>
      <c r="N64" s="75">
        <f>SUM($C$39:C64)</f>
        <v>0</v>
      </c>
    </row>
    <row r="65" spans="1:14" ht="15.75" customHeight="1" x14ac:dyDescent="0.25">
      <c r="A65" s="71">
        <v>46169</v>
      </c>
      <c r="B65" s="72" t="s">
        <v>186</v>
      </c>
      <c r="C65" s="65"/>
      <c r="D65" s="65"/>
      <c r="E65" s="65"/>
      <c r="F65" s="68" t="str">
        <f t="shared" si="4"/>
        <v>-</v>
      </c>
      <c r="G65" s="65"/>
      <c r="H65" s="9" t="str">
        <f t="shared" si="5"/>
        <v>-</v>
      </c>
      <c r="I65" s="65"/>
      <c r="J65" s="9" t="str">
        <f t="shared" si="6"/>
        <v>-</v>
      </c>
      <c r="K65" s="66" t="str">
        <f t="shared" si="7"/>
        <v>-</v>
      </c>
      <c r="L65" s="73"/>
      <c r="M65" s="74"/>
      <c r="N65" s="75">
        <f>SUM($C$39:C65)</f>
        <v>0</v>
      </c>
    </row>
    <row r="66" spans="1:14" ht="15.75" customHeight="1" x14ac:dyDescent="0.25">
      <c r="A66" s="76">
        <v>46170</v>
      </c>
      <c r="B66" s="77" t="s">
        <v>187</v>
      </c>
      <c r="C66" s="65"/>
      <c r="D66" s="65"/>
      <c r="E66" s="65"/>
      <c r="F66" s="78" t="str">
        <f t="shared" si="4"/>
        <v>-</v>
      </c>
      <c r="G66" s="65"/>
      <c r="H66" s="79" t="str">
        <f t="shared" si="5"/>
        <v>-</v>
      </c>
      <c r="I66" s="65"/>
      <c r="J66" s="79" t="str">
        <f t="shared" si="6"/>
        <v>-</v>
      </c>
      <c r="K66" s="80" t="str">
        <f t="shared" si="7"/>
        <v>-</v>
      </c>
      <c r="L66" s="73"/>
      <c r="M66" s="74"/>
      <c r="N66" s="75">
        <f>SUM($C$39:C66)</f>
        <v>0</v>
      </c>
    </row>
    <row r="67" spans="1:14" ht="15.75" customHeight="1" x14ac:dyDescent="0.25">
      <c r="A67" s="71">
        <v>46171</v>
      </c>
      <c r="B67" s="72" t="s">
        <v>188</v>
      </c>
      <c r="C67" s="65"/>
      <c r="D67" s="65"/>
      <c r="E67" s="65"/>
      <c r="F67" s="68" t="str">
        <f t="shared" si="4"/>
        <v>-</v>
      </c>
      <c r="G67" s="65"/>
      <c r="H67" s="9" t="str">
        <f t="shared" si="5"/>
        <v>-</v>
      </c>
      <c r="I67" s="65"/>
      <c r="J67" s="9" t="str">
        <f t="shared" si="6"/>
        <v>-</v>
      </c>
      <c r="K67" s="66" t="str">
        <f t="shared" si="7"/>
        <v>-</v>
      </c>
      <c r="L67" s="73"/>
      <c r="M67" s="74"/>
      <c r="N67" s="75">
        <f>SUM($C$39:C67)</f>
        <v>0</v>
      </c>
    </row>
    <row r="68" spans="1:14" ht="15.75" customHeight="1" x14ac:dyDescent="0.25">
      <c r="A68" s="81">
        <v>46172</v>
      </c>
      <c r="B68" s="82" t="s">
        <v>189</v>
      </c>
      <c r="C68" s="65"/>
      <c r="D68" s="65"/>
      <c r="E68" s="65"/>
      <c r="F68" s="83" t="str">
        <f t="shared" si="4"/>
        <v>-</v>
      </c>
      <c r="G68" s="65"/>
      <c r="H68" s="84" t="str">
        <f t="shared" si="5"/>
        <v>-</v>
      </c>
      <c r="I68" s="65"/>
      <c r="J68" s="84" t="str">
        <f t="shared" si="6"/>
        <v>-</v>
      </c>
      <c r="K68" s="85" t="str">
        <f t="shared" si="7"/>
        <v>-</v>
      </c>
      <c r="L68" s="73"/>
      <c r="M68" s="74"/>
      <c r="N68" s="75">
        <f>SUM($C$39:C68)</f>
        <v>0</v>
      </c>
    </row>
    <row r="69" spans="1:14" ht="15.75" customHeight="1" x14ac:dyDescent="0.25">
      <c r="A69" s="81">
        <v>46173</v>
      </c>
      <c r="B69" s="82" t="s">
        <v>190</v>
      </c>
      <c r="C69" s="65"/>
      <c r="D69" s="65"/>
      <c r="E69" s="65"/>
      <c r="F69" s="83" t="str">
        <f t="shared" si="4"/>
        <v>-</v>
      </c>
      <c r="G69" s="65"/>
      <c r="H69" s="84" t="str">
        <f t="shared" si="5"/>
        <v>-</v>
      </c>
      <c r="I69" s="65"/>
      <c r="J69" s="84" t="str">
        <f t="shared" si="6"/>
        <v>-</v>
      </c>
      <c r="K69" s="85" t="str">
        <f t="shared" si="7"/>
        <v>-</v>
      </c>
      <c r="L69" s="73"/>
      <c r="M69" s="74"/>
      <c r="N69" s="75">
        <f>SUM($C$39:C69)</f>
        <v>0</v>
      </c>
    </row>
    <row r="70" spans="1:14" ht="21.75" customHeight="1" x14ac:dyDescent="0.25">
      <c r="A70" s="126" t="s">
        <v>196</v>
      </c>
      <c r="B70" s="126"/>
      <c r="C70" s="86">
        <f>SUM(C39:C69)</f>
        <v>0</v>
      </c>
      <c r="D70" s="86">
        <f>SUM(D39:D69)</f>
        <v>0</v>
      </c>
      <c r="E70" s="86">
        <f>SUM(E39:E69)</f>
        <v>0</v>
      </c>
      <c r="F70" s="87" t="str">
        <f t="shared" si="4"/>
        <v>-</v>
      </c>
      <c r="G70" s="86">
        <f>SUM(G39:G69)</f>
        <v>0</v>
      </c>
      <c r="H70" s="88" t="str">
        <f t="shared" si="5"/>
        <v>-</v>
      </c>
      <c r="I70" s="86">
        <f>SUM(I39:I69)</f>
        <v>0</v>
      </c>
      <c r="J70" s="88" t="str">
        <f t="shared" si="6"/>
        <v>-</v>
      </c>
      <c r="K70" s="89" t="str">
        <f t="shared" si="7"/>
        <v>-</v>
      </c>
      <c r="L70" s="126" t="s">
        <v>194</v>
      </c>
      <c r="M70" s="126"/>
      <c r="N70" s="90" t="str">
        <f>IFERROR(C70/'📊 ANUAL MKTPLACES'!F9,"-")</f>
        <v>-</v>
      </c>
    </row>
    <row r="72" spans="1:14" ht="25.5" customHeight="1" x14ac:dyDescent="0.25">
      <c r="A72" s="127" t="s">
        <v>197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92">
        <f>IFERROR('📊 ANUAL MKTPLACES'!G9,0)</f>
        <v>0</v>
      </c>
    </row>
    <row r="73" spans="1:14" ht="19.5" customHeight="1" x14ac:dyDescent="0.25">
      <c r="A73" s="1" t="s">
        <v>174</v>
      </c>
      <c r="B73" s="1" t="s">
        <v>175</v>
      </c>
      <c r="C73" s="1" t="s">
        <v>176</v>
      </c>
      <c r="D73" s="1" t="s">
        <v>177</v>
      </c>
      <c r="E73" s="1" t="s">
        <v>178</v>
      </c>
      <c r="F73" s="1" t="s">
        <v>179</v>
      </c>
      <c r="G73" s="1" t="s">
        <v>180</v>
      </c>
      <c r="H73" s="1" t="s">
        <v>181</v>
      </c>
      <c r="I73" s="1" t="s">
        <v>182</v>
      </c>
      <c r="J73" s="1" t="s">
        <v>23</v>
      </c>
      <c r="K73" s="1" t="s">
        <v>164</v>
      </c>
      <c r="L73" s="1" t="s">
        <v>183</v>
      </c>
      <c r="M73" s="1" t="s">
        <v>184</v>
      </c>
      <c r="N73" s="1" t="s">
        <v>185</v>
      </c>
    </row>
    <row r="74" spans="1:14" ht="15.75" customHeight="1" x14ac:dyDescent="0.25">
      <c r="A74" s="71">
        <v>46174</v>
      </c>
      <c r="B74" s="72" t="s">
        <v>191</v>
      </c>
      <c r="C74" s="65"/>
      <c r="D74" s="65"/>
      <c r="E74" s="65"/>
      <c r="F74" s="68" t="str">
        <f t="shared" ref="F74:F104" si="8">IFERROR(C74/E74,"-")</f>
        <v>-</v>
      </c>
      <c r="G74" s="65"/>
      <c r="H74" s="9" t="str">
        <f t="shared" ref="H74:H104" si="9">IFERROR(E74/G74,"-")</f>
        <v>-</v>
      </c>
      <c r="I74" s="65"/>
      <c r="J74" s="9" t="str">
        <f t="shared" ref="J74:J104" si="10">IFERROR(I74/C74,"-")</f>
        <v>-</v>
      </c>
      <c r="K74" s="66" t="str">
        <f t="shared" ref="K74:K104" si="11">IFERROR(C74/I74,"-")</f>
        <v>-</v>
      </c>
      <c r="L74" s="73"/>
      <c r="M74" s="74"/>
      <c r="N74" s="75">
        <f>SUM($C$74:C74)</f>
        <v>0</v>
      </c>
    </row>
    <row r="75" spans="1:14" ht="15.75" customHeight="1" x14ac:dyDescent="0.25">
      <c r="A75" s="76">
        <v>46175</v>
      </c>
      <c r="B75" s="77" t="s">
        <v>192</v>
      </c>
      <c r="C75" s="65"/>
      <c r="D75" s="65"/>
      <c r="E75" s="65"/>
      <c r="F75" s="78" t="str">
        <f t="shared" si="8"/>
        <v>-</v>
      </c>
      <c r="G75" s="65"/>
      <c r="H75" s="79" t="str">
        <f t="shared" si="9"/>
        <v>-</v>
      </c>
      <c r="I75" s="65"/>
      <c r="J75" s="79" t="str">
        <f t="shared" si="10"/>
        <v>-</v>
      </c>
      <c r="K75" s="80" t="str">
        <f t="shared" si="11"/>
        <v>-</v>
      </c>
      <c r="L75" s="73"/>
      <c r="M75" s="74"/>
      <c r="N75" s="75">
        <f>SUM($C$74:C75)</f>
        <v>0</v>
      </c>
    </row>
    <row r="76" spans="1:14" ht="15.75" customHeight="1" x14ac:dyDescent="0.25">
      <c r="A76" s="71">
        <v>46176</v>
      </c>
      <c r="B76" s="72" t="s">
        <v>186</v>
      </c>
      <c r="C76" s="65"/>
      <c r="D76" s="65"/>
      <c r="E76" s="65"/>
      <c r="F76" s="68" t="str">
        <f t="shared" si="8"/>
        <v>-</v>
      </c>
      <c r="G76" s="65"/>
      <c r="H76" s="9" t="str">
        <f t="shared" si="9"/>
        <v>-</v>
      </c>
      <c r="I76" s="65"/>
      <c r="J76" s="9" t="str">
        <f t="shared" si="10"/>
        <v>-</v>
      </c>
      <c r="K76" s="66" t="str">
        <f t="shared" si="11"/>
        <v>-</v>
      </c>
      <c r="L76" s="73"/>
      <c r="M76" s="74"/>
      <c r="N76" s="75">
        <f>SUM($C$74:C76)</f>
        <v>0</v>
      </c>
    </row>
    <row r="77" spans="1:14" ht="15.75" customHeight="1" x14ac:dyDescent="0.25">
      <c r="A77" s="76">
        <v>46177</v>
      </c>
      <c r="B77" s="77" t="s">
        <v>187</v>
      </c>
      <c r="C77" s="65"/>
      <c r="D77" s="65"/>
      <c r="E77" s="65"/>
      <c r="F77" s="78" t="str">
        <f t="shared" si="8"/>
        <v>-</v>
      </c>
      <c r="G77" s="65"/>
      <c r="H77" s="79" t="str">
        <f t="shared" si="9"/>
        <v>-</v>
      </c>
      <c r="I77" s="65"/>
      <c r="J77" s="79" t="str">
        <f t="shared" si="10"/>
        <v>-</v>
      </c>
      <c r="K77" s="80" t="str">
        <f t="shared" si="11"/>
        <v>-</v>
      </c>
      <c r="L77" s="73"/>
      <c r="M77" s="74"/>
      <c r="N77" s="75">
        <f>SUM($C$74:C77)</f>
        <v>0</v>
      </c>
    </row>
    <row r="78" spans="1:14" ht="15.75" customHeight="1" x14ac:dyDescent="0.25">
      <c r="A78" s="71">
        <v>46178</v>
      </c>
      <c r="B78" s="72" t="s">
        <v>188</v>
      </c>
      <c r="C78" s="65"/>
      <c r="D78" s="65"/>
      <c r="E78" s="65"/>
      <c r="F78" s="68" t="str">
        <f t="shared" si="8"/>
        <v>-</v>
      </c>
      <c r="G78" s="65"/>
      <c r="H78" s="9" t="str">
        <f t="shared" si="9"/>
        <v>-</v>
      </c>
      <c r="I78" s="65"/>
      <c r="J78" s="9" t="str">
        <f t="shared" si="10"/>
        <v>-</v>
      </c>
      <c r="K78" s="66" t="str">
        <f t="shared" si="11"/>
        <v>-</v>
      </c>
      <c r="L78" s="73"/>
      <c r="M78" s="74"/>
      <c r="N78" s="75">
        <f>SUM($C$74:C78)</f>
        <v>0</v>
      </c>
    </row>
    <row r="79" spans="1:14" ht="15.75" customHeight="1" x14ac:dyDescent="0.25">
      <c r="A79" s="81">
        <v>46179</v>
      </c>
      <c r="B79" s="82" t="s">
        <v>189</v>
      </c>
      <c r="C79" s="65"/>
      <c r="D79" s="65"/>
      <c r="E79" s="65"/>
      <c r="F79" s="83" t="str">
        <f t="shared" si="8"/>
        <v>-</v>
      </c>
      <c r="G79" s="65"/>
      <c r="H79" s="84" t="str">
        <f t="shared" si="9"/>
        <v>-</v>
      </c>
      <c r="I79" s="65"/>
      <c r="J79" s="84" t="str">
        <f t="shared" si="10"/>
        <v>-</v>
      </c>
      <c r="K79" s="85" t="str">
        <f t="shared" si="11"/>
        <v>-</v>
      </c>
      <c r="L79" s="73"/>
      <c r="M79" s="74"/>
      <c r="N79" s="75">
        <f>SUM($C$74:C79)</f>
        <v>0</v>
      </c>
    </row>
    <row r="80" spans="1:14" ht="15.75" customHeight="1" x14ac:dyDescent="0.25">
      <c r="A80" s="81">
        <v>46180</v>
      </c>
      <c r="B80" s="82" t="s">
        <v>190</v>
      </c>
      <c r="C80" s="65"/>
      <c r="D80" s="65"/>
      <c r="E80" s="65"/>
      <c r="F80" s="83" t="str">
        <f t="shared" si="8"/>
        <v>-</v>
      </c>
      <c r="G80" s="65"/>
      <c r="H80" s="84" t="str">
        <f t="shared" si="9"/>
        <v>-</v>
      </c>
      <c r="I80" s="65"/>
      <c r="J80" s="84" t="str">
        <f t="shared" si="10"/>
        <v>-</v>
      </c>
      <c r="K80" s="85" t="str">
        <f t="shared" si="11"/>
        <v>-</v>
      </c>
      <c r="L80" s="73"/>
      <c r="M80" s="74"/>
      <c r="N80" s="75">
        <f>SUM($C$74:C80)</f>
        <v>0</v>
      </c>
    </row>
    <row r="81" spans="1:14" ht="15.75" customHeight="1" x14ac:dyDescent="0.25">
      <c r="A81" s="76">
        <v>46181</v>
      </c>
      <c r="B81" s="77" t="s">
        <v>191</v>
      </c>
      <c r="C81" s="65"/>
      <c r="D81" s="65"/>
      <c r="E81" s="65"/>
      <c r="F81" s="78" t="str">
        <f t="shared" si="8"/>
        <v>-</v>
      </c>
      <c r="G81" s="65"/>
      <c r="H81" s="79" t="str">
        <f t="shared" si="9"/>
        <v>-</v>
      </c>
      <c r="I81" s="65"/>
      <c r="J81" s="79" t="str">
        <f t="shared" si="10"/>
        <v>-</v>
      </c>
      <c r="K81" s="80" t="str">
        <f t="shared" si="11"/>
        <v>-</v>
      </c>
      <c r="L81" s="73"/>
      <c r="M81" s="74"/>
      <c r="N81" s="75">
        <f>SUM($C$74:C81)</f>
        <v>0</v>
      </c>
    </row>
    <row r="82" spans="1:14" ht="15.75" customHeight="1" x14ac:dyDescent="0.25">
      <c r="A82" s="71">
        <v>46182</v>
      </c>
      <c r="B82" s="72" t="s">
        <v>192</v>
      </c>
      <c r="C82" s="65"/>
      <c r="D82" s="65"/>
      <c r="E82" s="65"/>
      <c r="F82" s="68" t="str">
        <f t="shared" si="8"/>
        <v>-</v>
      </c>
      <c r="G82" s="65"/>
      <c r="H82" s="9" t="str">
        <f t="shared" si="9"/>
        <v>-</v>
      </c>
      <c r="I82" s="65"/>
      <c r="J82" s="9" t="str">
        <f t="shared" si="10"/>
        <v>-</v>
      </c>
      <c r="K82" s="66" t="str">
        <f t="shared" si="11"/>
        <v>-</v>
      </c>
      <c r="L82" s="73"/>
      <c r="M82" s="74"/>
      <c r="N82" s="75">
        <f>SUM($C$74:C82)</f>
        <v>0</v>
      </c>
    </row>
    <row r="83" spans="1:14" ht="15.75" customHeight="1" x14ac:dyDescent="0.25">
      <c r="A83" s="76">
        <v>46183</v>
      </c>
      <c r="B83" s="77" t="s">
        <v>186</v>
      </c>
      <c r="C83" s="65"/>
      <c r="D83" s="65"/>
      <c r="E83" s="65"/>
      <c r="F83" s="78" t="str">
        <f t="shared" si="8"/>
        <v>-</v>
      </c>
      <c r="G83" s="65"/>
      <c r="H83" s="79" t="str">
        <f t="shared" si="9"/>
        <v>-</v>
      </c>
      <c r="I83" s="65"/>
      <c r="J83" s="79" t="str">
        <f t="shared" si="10"/>
        <v>-</v>
      </c>
      <c r="K83" s="80" t="str">
        <f t="shared" si="11"/>
        <v>-</v>
      </c>
      <c r="L83" s="73"/>
      <c r="M83" s="74"/>
      <c r="N83" s="75">
        <f>SUM($C$74:C83)</f>
        <v>0</v>
      </c>
    </row>
    <row r="84" spans="1:14" ht="15.75" customHeight="1" x14ac:dyDescent="0.25">
      <c r="A84" s="71">
        <v>46184</v>
      </c>
      <c r="B84" s="72" t="s">
        <v>187</v>
      </c>
      <c r="C84" s="65"/>
      <c r="D84" s="65"/>
      <c r="E84" s="65"/>
      <c r="F84" s="68" t="str">
        <f t="shared" si="8"/>
        <v>-</v>
      </c>
      <c r="G84" s="65"/>
      <c r="H84" s="9" t="str">
        <f t="shared" si="9"/>
        <v>-</v>
      </c>
      <c r="I84" s="65"/>
      <c r="J84" s="9" t="str">
        <f t="shared" si="10"/>
        <v>-</v>
      </c>
      <c r="K84" s="66" t="str">
        <f t="shared" si="11"/>
        <v>-</v>
      </c>
      <c r="L84" s="73"/>
      <c r="M84" s="74"/>
      <c r="N84" s="75">
        <f>SUM($C$74:C84)</f>
        <v>0</v>
      </c>
    </row>
    <row r="85" spans="1:14" ht="15.75" customHeight="1" x14ac:dyDescent="0.25">
      <c r="A85" s="76">
        <v>46185</v>
      </c>
      <c r="B85" s="77" t="s">
        <v>188</v>
      </c>
      <c r="C85" s="65"/>
      <c r="D85" s="65"/>
      <c r="E85" s="65"/>
      <c r="F85" s="78" t="str">
        <f t="shared" si="8"/>
        <v>-</v>
      </c>
      <c r="G85" s="65"/>
      <c r="H85" s="79" t="str">
        <f t="shared" si="9"/>
        <v>-</v>
      </c>
      <c r="I85" s="65"/>
      <c r="J85" s="79" t="str">
        <f t="shared" si="10"/>
        <v>-</v>
      </c>
      <c r="K85" s="80" t="str">
        <f t="shared" si="11"/>
        <v>-</v>
      </c>
      <c r="L85" s="73"/>
      <c r="M85" s="74"/>
      <c r="N85" s="75">
        <f>SUM($C$74:C85)</f>
        <v>0</v>
      </c>
    </row>
    <row r="86" spans="1:14" ht="15.75" customHeight="1" x14ac:dyDescent="0.25">
      <c r="A86" s="81">
        <v>46186</v>
      </c>
      <c r="B86" s="82" t="s">
        <v>189</v>
      </c>
      <c r="C86" s="65"/>
      <c r="D86" s="65"/>
      <c r="E86" s="65"/>
      <c r="F86" s="83" t="str">
        <f t="shared" si="8"/>
        <v>-</v>
      </c>
      <c r="G86" s="65"/>
      <c r="H86" s="84" t="str">
        <f t="shared" si="9"/>
        <v>-</v>
      </c>
      <c r="I86" s="65"/>
      <c r="J86" s="84" t="str">
        <f t="shared" si="10"/>
        <v>-</v>
      </c>
      <c r="K86" s="85" t="str">
        <f t="shared" si="11"/>
        <v>-</v>
      </c>
      <c r="L86" s="73"/>
      <c r="M86" s="74"/>
      <c r="N86" s="75">
        <f>SUM($C$74:C86)</f>
        <v>0</v>
      </c>
    </row>
    <row r="87" spans="1:14" ht="15.75" customHeight="1" x14ac:dyDescent="0.25">
      <c r="A87" s="81">
        <v>46187</v>
      </c>
      <c r="B87" s="82" t="s">
        <v>190</v>
      </c>
      <c r="C87" s="65"/>
      <c r="D87" s="65"/>
      <c r="E87" s="65"/>
      <c r="F87" s="83" t="str">
        <f t="shared" si="8"/>
        <v>-</v>
      </c>
      <c r="G87" s="65"/>
      <c r="H87" s="84" t="str">
        <f t="shared" si="9"/>
        <v>-</v>
      </c>
      <c r="I87" s="65"/>
      <c r="J87" s="84" t="str">
        <f t="shared" si="10"/>
        <v>-</v>
      </c>
      <c r="K87" s="85" t="str">
        <f t="shared" si="11"/>
        <v>-</v>
      </c>
      <c r="L87" s="73"/>
      <c r="M87" s="74"/>
      <c r="N87" s="75">
        <f>SUM($C$74:C87)</f>
        <v>0</v>
      </c>
    </row>
    <row r="88" spans="1:14" ht="15.75" customHeight="1" x14ac:dyDescent="0.25">
      <c r="A88" s="71">
        <v>46188</v>
      </c>
      <c r="B88" s="72" t="s">
        <v>191</v>
      </c>
      <c r="C88" s="65"/>
      <c r="D88" s="65"/>
      <c r="E88" s="65"/>
      <c r="F88" s="68" t="str">
        <f t="shared" si="8"/>
        <v>-</v>
      </c>
      <c r="G88" s="65"/>
      <c r="H88" s="9" t="str">
        <f t="shared" si="9"/>
        <v>-</v>
      </c>
      <c r="I88" s="65"/>
      <c r="J88" s="9" t="str">
        <f t="shared" si="10"/>
        <v>-</v>
      </c>
      <c r="K88" s="66" t="str">
        <f t="shared" si="11"/>
        <v>-</v>
      </c>
      <c r="L88" s="73"/>
      <c r="M88" s="74"/>
      <c r="N88" s="75">
        <f>SUM($C$74:C88)</f>
        <v>0</v>
      </c>
    </row>
    <row r="89" spans="1:14" ht="15.75" customHeight="1" x14ac:dyDescent="0.25">
      <c r="A89" s="76">
        <v>46189</v>
      </c>
      <c r="B89" s="77" t="s">
        <v>192</v>
      </c>
      <c r="C89" s="65"/>
      <c r="D89" s="65"/>
      <c r="E89" s="65"/>
      <c r="F89" s="78" t="str">
        <f t="shared" si="8"/>
        <v>-</v>
      </c>
      <c r="G89" s="65"/>
      <c r="H89" s="79" t="str">
        <f t="shared" si="9"/>
        <v>-</v>
      </c>
      <c r="I89" s="65"/>
      <c r="J89" s="79" t="str">
        <f t="shared" si="10"/>
        <v>-</v>
      </c>
      <c r="K89" s="80" t="str">
        <f t="shared" si="11"/>
        <v>-</v>
      </c>
      <c r="L89" s="73"/>
      <c r="M89" s="74"/>
      <c r="N89" s="75">
        <f>SUM($C$74:C89)</f>
        <v>0</v>
      </c>
    </row>
    <row r="90" spans="1:14" ht="15.75" customHeight="1" x14ac:dyDescent="0.25">
      <c r="A90" s="71">
        <v>46190</v>
      </c>
      <c r="B90" s="72" t="s">
        <v>186</v>
      </c>
      <c r="C90" s="65"/>
      <c r="D90" s="65"/>
      <c r="E90" s="65"/>
      <c r="F90" s="68" t="str">
        <f t="shared" si="8"/>
        <v>-</v>
      </c>
      <c r="G90" s="65"/>
      <c r="H90" s="9" t="str">
        <f t="shared" si="9"/>
        <v>-</v>
      </c>
      <c r="I90" s="65"/>
      <c r="J90" s="9" t="str">
        <f t="shared" si="10"/>
        <v>-</v>
      </c>
      <c r="K90" s="66" t="str">
        <f t="shared" si="11"/>
        <v>-</v>
      </c>
      <c r="L90" s="73"/>
      <c r="M90" s="74"/>
      <c r="N90" s="75">
        <f>SUM($C$74:C90)</f>
        <v>0</v>
      </c>
    </row>
    <row r="91" spans="1:14" ht="15.75" customHeight="1" x14ac:dyDescent="0.25">
      <c r="A91" s="76">
        <v>46191</v>
      </c>
      <c r="B91" s="77" t="s">
        <v>187</v>
      </c>
      <c r="C91" s="65"/>
      <c r="D91" s="65"/>
      <c r="E91" s="65"/>
      <c r="F91" s="78" t="str">
        <f t="shared" si="8"/>
        <v>-</v>
      </c>
      <c r="G91" s="65"/>
      <c r="H91" s="79" t="str">
        <f t="shared" si="9"/>
        <v>-</v>
      </c>
      <c r="I91" s="65"/>
      <c r="J91" s="79" t="str">
        <f t="shared" si="10"/>
        <v>-</v>
      </c>
      <c r="K91" s="80" t="str">
        <f t="shared" si="11"/>
        <v>-</v>
      </c>
      <c r="L91" s="73"/>
      <c r="M91" s="74"/>
      <c r="N91" s="75">
        <f>SUM($C$74:C91)</f>
        <v>0</v>
      </c>
    </row>
    <row r="92" spans="1:14" ht="15.75" customHeight="1" x14ac:dyDescent="0.25">
      <c r="A92" s="71">
        <v>46192</v>
      </c>
      <c r="B92" s="72" t="s">
        <v>188</v>
      </c>
      <c r="C92" s="65"/>
      <c r="D92" s="65"/>
      <c r="E92" s="65"/>
      <c r="F92" s="68" t="str">
        <f t="shared" si="8"/>
        <v>-</v>
      </c>
      <c r="G92" s="65"/>
      <c r="H92" s="9" t="str">
        <f t="shared" si="9"/>
        <v>-</v>
      </c>
      <c r="I92" s="65"/>
      <c r="J92" s="9" t="str">
        <f t="shared" si="10"/>
        <v>-</v>
      </c>
      <c r="K92" s="66" t="str">
        <f t="shared" si="11"/>
        <v>-</v>
      </c>
      <c r="L92" s="73"/>
      <c r="M92" s="74"/>
      <c r="N92" s="75">
        <f>SUM($C$74:C92)</f>
        <v>0</v>
      </c>
    </row>
    <row r="93" spans="1:14" ht="15.75" customHeight="1" x14ac:dyDescent="0.25">
      <c r="A93" s="81">
        <v>46193</v>
      </c>
      <c r="B93" s="82" t="s">
        <v>189</v>
      </c>
      <c r="C93" s="65"/>
      <c r="D93" s="65"/>
      <c r="E93" s="65"/>
      <c r="F93" s="83" t="str">
        <f t="shared" si="8"/>
        <v>-</v>
      </c>
      <c r="G93" s="65"/>
      <c r="H93" s="84" t="str">
        <f t="shared" si="9"/>
        <v>-</v>
      </c>
      <c r="I93" s="65"/>
      <c r="J93" s="84" t="str">
        <f t="shared" si="10"/>
        <v>-</v>
      </c>
      <c r="K93" s="85" t="str">
        <f t="shared" si="11"/>
        <v>-</v>
      </c>
      <c r="L93" s="73"/>
      <c r="M93" s="74"/>
      <c r="N93" s="75">
        <f>SUM($C$74:C93)</f>
        <v>0</v>
      </c>
    </row>
    <row r="94" spans="1:14" ht="15.75" customHeight="1" x14ac:dyDescent="0.25">
      <c r="A94" s="81">
        <v>46194</v>
      </c>
      <c r="B94" s="82" t="s">
        <v>190</v>
      </c>
      <c r="C94" s="65"/>
      <c r="D94" s="65"/>
      <c r="E94" s="65"/>
      <c r="F94" s="83" t="str">
        <f t="shared" si="8"/>
        <v>-</v>
      </c>
      <c r="G94" s="65"/>
      <c r="H94" s="84" t="str">
        <f t="shared" si="9"/>
        <v>-</v>
      </c>
      <c r="I94" s="65"/>
      <c r="J94" s="84" t="str">
        <f t="shared" si="10"/>
        <v>-</v>
      </c>
      <c r="K94" s="85" t="str">
        <f t="shared" si="11"/>
        <v>-</v>
      </c>
      <c r="L94" s="73"/>
      <c r="M94" s="74"/>
      <c r="N94" s="75">
        <f>SUM($C$74:C94)</f>
        <v>0</v>
      </c>
    </row>
    <row r="95" spans="1:14" ht="15.75" customHeight="1" x14ac:dyDescent="0.25">
      <c r="A95" s="76">
        <v>46195</v>
      </c>
      <c r="B95" s="77" t="s">
        <v>191</v>
      </c>
      <c r="C95" s="65"/>
      <c r="D95" s="65"/>
      <c r="E95" s="65"/>
      <c r="F95" s="78" t="str">
        <f t="shared" si="8"/>
        <v>-</v>
      </c>
      <c r="G95" s="65"/>
      <c r="H95" s="79" t="str">
        <f t="shared" si="9"/>
        <v>-</v>
      </c>
      <c r="I95" s="65"/>
      <c r="J95" s="79" t="str">
        <f t="shared" si="10"/>
        <v>-</v>
      </c>
      <c r="K95" s="80" t="str">
        <f t="shared" si="11"/>
        <v>-</v>
      </c>
      <c r="L95" s="73"/>
      <c r="M95" s="74"/>
      <c r="N95" s="75">
        <f>SUM($C$74:C95)</f>
        <v>0</v>
      </c>
    </row>
    <row r="96" spans="1:14" ht="15.75" customHeight="1" x14ac:dyDescent="0.25">
      <c r="A96" s="71">
        <v>46196</v>
      </c>
      <c r="B96" s="72" t="s">
        <v>192</v>
      </c>
      <c r="C96" s="65"/>
      <c r="D96" s="65"/>
      <c r="E96" s="65"/>
      <c r="F96" s="68" t="str">
        <f t="shared" si="8"/>
        <v>-</v>
      </c>
      <c r="G96" s="65"/>
      <c r="H96" s="9" t="str">
        <f t="shared" si="9"/>
        <v>-</v>
      </c>
      <c r="I96" s="65"/>
      <c r="J96" s="9" t="str">
        <f t="shared" si="10"/>
        <v>-</v>
      </c>
      <c r="K96" s="66" t="str">
        <f t="shared" si="11"/>
        <v>-</v>
      </c>
      <c r="L96" s="73"/>
      <c r="M96" s="74"/>
      <c r="N96" s="75">
        <f>SUM($C$74:C96)</f>
        <v>0</v>
      </c>
    </row>
    <row r="97" spans="1:14" ht="15.75" customHeight="1" x14ac:dyDescent="0.25">
      <c r="A97" s="76">
        <v>46197</v>
      </c>
      <c r="B97" s="77" t="s">
        <v>186</v>
      </c>
      <c r="C97" s="65"/>
      <c r="D97" s="65"/>
      <c r="E97" s="65"/>
      <c r="F97" s="78" t="str">
        <f t="shared" si="8"/>
        <v>-</v>
      </c>
      <c r="G97" s="65"/>
      <c r="H97" s="79" t="str">
        <f t="shared" si="9"/>
        <v>-</v>
      </c>
      <c r="I97" s="65"/>
      <c r="J97" s="79" t="str">
        <f t="shared" si="10"/>
        <v>-</v>
      </c>
      <c r="K97" s="80" t="str">
        <f t="shared" si="11"/>
        <v>-</v>
      </c>
      <c r="L97" s="73"/>
      <c r="M97" s="74"/>
      <c r="N97" s="75">
        <f>SUM($C$74:C97)</f>
        <v>0</v>
      </c>
    </row>
    <row r="98" spans="1:14" ht="15.75" customHeight="1" x14ac:dyDescent="0.25">
      <c r="A98" s="71">
        <v>46198</v>
      </c>
      <c r="B98" s="72" t="s">
        <v>187</v>
      </c>
      <c r="C98" s="65"/>
      <c r="D98" s="65"/>
      <c r="E98" s="65"/>
      <c r="F98" s="68" t="str">
        <f t="shared" si="8"/>
        <v>-</v>
      </c>
      <c r="G98" s="65"/>
      <c r="H98" s="9" t="str">
        <f t="shared" si="9"/>
        <v>-</v>
      </c>
      <c r="I98" s="65"/>
      <c r="J98" s="9" t="str">
        <f t="shared" si="10"/>
        <v>-</v>
      </c>
      <c r="K98" s="66" t="str">
        <f t="shared" si="11"/>
        <v>-</v>
      </c>
      <c r="L98" s="73"/>
      <c r="M98" s="74"/>
      <c r="N98" s="75">
        <f>SUM($C$74:C98)</f>
        <v>0</v>
      </c>
    </row>
    <row r="99" spans="1:14" ht="15.75" customHeight="1" x14ac:dyDescent="0.25">
      <c r="A99" s="76">
        <v>46199</v>
      </c>
      <c r="B99" s="77" t="s">
        <v>188</v>
      </c>
      <c r="C99" s="65"/>
      <c r="D99" s="65"/>
      <c r="E99" s="65"/>
      <c r="F99" s="78" t="str">
        <f t="shared" si="8"/>
        <v>-</v>
      </c>
      <c r="G99" s="65"/>
      <c r="H99" s="79" t="str">
        <f t="shared" si="9"/>
        <v>-</v>
      </c>
      <c r="I99" s="65"/>
      <c r="J99" s="79" t="str">
        <f t="shared" si="10"/>
        <v>-</v>
      </c>
      <c r="K99" s="80" t="str">
        <f t="shared" si="11"/>
        <v>-</v>
      </c>
      <c r="L99" s="73"/>
      <c r="M99" s="74"/>
      <c r="N99" s="75">
        <f>SUM($C$74:C99)</f>
        <v>0</v>
      </c>
    </row>
    <row r="100" spans="1:14" ht="15.75" customHeight="1" x14ac:dyDescent="0.25">
      <c r="A100" s="81">
        <v>46200</v>
      </c>
      <c r="B100" s="82" t="s">
        <v>189</v>
      </c>
      <c r="C100" s="65"/>
      <c r="D100" s="65"/>
      <c r="E100" s="65"/>
      <c r="F100" s="83" t="str">
        <f t="shared" si="8"/>
        <v>-</v>
      </c>
      <c r="G100" s="65"/>
      <c r="H100" s="84" t="str">
        <f t="shared" si="9"/>
        <v>-</v>
      </c>
      <c r="I100" s="65"/>
      <c r="J100" s="84" t="str">
        <f t="shared" si="10"/>
        <v>-</v>
      </c>
      <c r="K100" s="85" t="str">
        <f t="shared" si="11"/>
        <v>-</v>
      </c>
      <c r="L100" s="73"/>
      <c r="M100" s="74"/>
      <c r="N100" s="75">
        <f>SUM($C$74:C100)</f>
        <v>0</v>
      </c>
    </row>
    <row r="101" spans="1:14" ht="15.75" customHeight="1" x14ac:dyDescent="0.25">
      <c r="A101" s="81">
        <v>46201</v>
      </c>
      <c r="B101" s="82" t="s">
        <v>190</v>
      </c>
      <c r="C101" s="65"/>
      <c r="D101" s="65"/>
      <c r="E101" s="65"/>
      <c r="F101" s="83" t="str">
        <f t="shared" si="8"/>
        <v>-</v>
      </c>
      <c r="G101" s="65"/>
      <c r="H101" s="84" t="str">
        <f t="shared" si="9"/>
        <v>-</v>
      </c>
      <c r="I101" s="65"/>
      <c r="J101" s="84" t="str">
        <f t="shared" si="10"/>
        <v>-</v>
      </c>
      <c r="K101" s="85" t="str">
        <f t="shared" si="11"/>
        <v>-</v>
      </c>
      <c r="L101" s="73"/>
      <c r="M101" s="74"/>
      <c r="N101" s="75">
        <f>SUM($C$74:C101)</f>
        <v>0</v>
      </c>
    </row>
    <row r="102" spans="1:14" ht="15.75" customHeight="1" x14ac:dyDescent="0.25">
      <c r="A102" s="71">
        <v>46202</v>
      </c>
      <c r="B102" s="72" t="s">
        <v>191</v>
      </c>
      <c r="C102" s="65"/>
      <c r="D102" s="65"/>
      <c r="E102" s="65"/>
      <c r="F102" s="68" t="str">
        <f t="shared" si="8"/>
        <v>-</v>
      </c>
      <c r="G102" s="65"/>
      <c r="H102" s="9" t="str">
        <f t="shared" si="9"/>
        <v>-</v>
      </c>
      <c r="I102" s="65"/>
      <c r="J102" s="9" t="str">
        <f t="shared" si="10"/>
        <v>-</v>
      </c>
      <c r="K102" s="66" t="str">
        <f t="shared" si="11"/>
        <v>-</v>
      </c>
      <c r="L102" s="73"/>
      <c r="M102" s="74"/>
      <c r="N102" s="75">
        <f>SUM($C$74:C102)</f>
        <v>0</v>
      </c>
    </row>
    <row r="103" spans="1:14" ht="15.75" customHeight="1" x14ac:dyDescent="0.25">
      <c r="A103" s="76">
        <v>46203</v>
      </c>
      <c r="B103" s="77" t="s">
        <v>192</v>
      </c>
      <c r="C103" s="65"/>
      <c r="D103" s="65"/>
      <c r="E103" s="65"/>
      <c r="F103" s="78" t="str">
        <f t="shared" si="8"/>
        <v>-</v>
      </c>
      <c r="G103" s="65"/>
      <c r="H103" s="79" t="str">
        <f t="shared" si="9"/>
        <v>-</v>
      </c>
      <c r="I103" s="65"/>
      <c r="J103" s="79" t="str">
        <f t="shared" si="10"/>
        <v>-</v>
      </c>
      <c r="K103" s="80" t="str">
        <f t="shared" si="11"/>
        <v>-</v>
      </c>
      <c r="L103" s="73"/>
      <c r="M103" s="74"/>
      <c r="N103" s="75">
        <f>SUM($C$74:C103)</f>
        <v>0</v>
      </c>
    </row>
    <row r="104" spans="1:14" ht="21.75" customHeight="1" x14ac:dyDescent="0.25">
      <c r="A104" s="126" t="s">
        <v>198</v>
      </c>
      <c r="B104" s="126"/>
      <c r="C104" s="86">
        <f>SUM(C74:C103)</f>
        <v>0</v>
      </c>
      <c r="D104" s="86">
        <f>SUM(D74:D103)</f>
        <v>0</v>
      </c>
      <c r="E104" s="86">
        <f>SUM(E74:E103)</f>
        <v>0</v>
      </c>
      <c r="F104" s="87" t="str">
        <f t="shared" si="8"/>
        <v>-</v>
      </c>
      <c r="G104" s="86">
        <f>SUM(G74:G103)</f>
        <v>0</v>
      </c>
      <c r="H104" s="88" t="str">
        <f t="shared" si="9"/>
        <v>-</v>
      </c>
      <c r="I104" s="86">
        <f>SUM(I74:I103)</f>
        <v>0</v>
      </c>
      <c r="J104" s="88" t="str">
        <f t="shared" si="10"/>
        <v>-</v>
      </c>
      <c r="K104" s="89" t="str">
        <f t="shared" si="11"/>
        <v>-</v>
      </c>
      <c r="L104" s="126" t="s">
        <v>194</v>
      </c>
      <c r="M104" s="126"/>
      <c r="N104" s="90" t="str">
        <f>IFERROR(C104/'📊 ANUAL MKTPLACES'!G9,"-")</f>
        <v>-</v>
      </c>
    </row>
    <row r="106" spans="1:14" ht="30" customHeight="1" x14ac:dyDescent="0.25">
      <c r="A106" s="93" t="s">
        <v>199</v>
      </c>
      <c r="C106" s="94">
        <f>SUM(C3:C105)</f>
        <v>0</v>
      </c>
      <c r="L106" s="124" t="s">
        <v>200</v>
      </c>
      <c r="M106" s="124"/>
      <c r="N106" s="95" t="str">
        <f>IFERROR(C106/('📊 ANUAL MKTPLACES'!E9+'📊 ANUAL MKTPLACES'!F9+'📊 ANUAL MKTPLACES'!G9),"-")</f>
        <v>-</v>
      </c>
    </row>
  </sheetData>
  <mergeCells count="12">
    <mergeCell ref="A1:N1"/>
    <mergeCell ref="A2:N2"/>
    <mergeCell ref="A3:M3"/>
    <mergeCell ref="A35:B35"/>
    <mergeCell ref="L35:M35"/>
    <mergeCell ref="L106:M106"/>
    <mergeCell ref="A37:M37"/>
    <mergeCell ref="A70:B70"/>
    <mergeCell ref="L70:M70"/>
    <mergeCell ref="A72:M72"/>
    <mergeCell ref="A104:B104"/>
    <mergeCell ref="L104:M10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M133"/>
  <sheetViews>
    <sheetView showGridLines="0" zoomScaleNormal="100" workbookViewId="0">
      <pane xSplit="3" ySplit="3" topLeftCell="D23" activePane="bottomRight" state="frozen"/>
      <selection pane="topRight" activeCell="D1" sqref="D1"/>
      <selection pane="bottomLeft" activeCell="A4" sqref="A4"/>
      <selection pane="bottomRight" activeCell="C6" sqref="C6"/>
    </sheetView>
  </sheetViews>
  <sheetFormatPr defaultColWidth="8.7109375" defaultRowHeight="15" x14ac:dyDescent="0.25"/>
  <cols>
    <col min="1" max="1" width="7" customWidth="1"/>
    <col min="2" max="2" width="18" customWidth="1"/>
    <col min="3" max="3" width="16" customWidth="1"/>
    <col min="4" max="5" width="13" customWidth="1"/>
    <col min="6" max="6" width="9" customWidth="1"/>
    <col min="7" max="7" width="12" customWidth="1"/>
    <col min="8" max="9" width="8" customWidth="1"/>
    <col min="10" max="10" width="9" customWidth="1"/>
    <col min="11" max="11" width="11" customWidth="1"/>
    <col min="12" max="13" width="9" customWidth="1"/>
  </cols>
  <sheetData>
    <row r="1" spans="1:13" ht="36" customHeight="1" x14ac:dyDescent="0.25">
      <c r="A1" s="104" t="s">
        <v>201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3" ht="15.75" customHeight="1" x14ac:dyDescent="0.25">
      <c r="A2" s="117" t="s">
        <v>202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24" customHeight="1" x14ac:dyDescent="0.25">
      <c r="A3" s="129" t="s">
        <v>203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1:13" ht="19.5" customHeight="1" x14ac:dyDescent="0.25">
      <c r="A4" s="123" t="s">
        <v>204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</row>
    <row r="5" spans="1:13" ht="18" customHeight="1" x14ac:dyDescent="0.25">
      <c r="A5" s="1" t="s">
        <v>205</v>
      </c>
      <c r="B5" s="1" t="s">
        <v>206</v>
      </c>
      <c r="C5" s="1" t="s">
        <v>207</v>
      </c>
      <c r="D5" s="1" t="s">
        <v>208</v>
      </c>
      <c r="E5" s="1" t="s">
        <v>209</v>
      </c>
      <c r="F5" s="1" t="s">
        <v>21</v>
      </c>
      <c r="G5" s="1" t="s">
        <v>182</v>
      </c>
      <c r="H5" s="1" t="s">
        <v>23</v>
      </c>
      <c r="I5" s="1" t="s">
        <v>164</v>
      </c>
      <c r="J5" s="1" t="s">
        <v>178</v>
      </c>
      <c r="K5" s="1" t="s">
        <v>179</v>
      </c>
      <c r="L5" s="1" t="s">
        <v>180</v>
      </c>
      <c r="M5" s="1" t="s">
        <v>181</v>
      </c>
    </row>
    <row r="6" spans="1:13" ht="15.75" customHeight="1" x14ac:dyDescent="0.25">
      <c r="A6" s="96" t="s">
        <v>210</v>
      </c>
      <c r="B6" s="97" t="s">
        <v>211</v>
      </c>
      <c r="C6" s="73"/>
      <c r="D6" s="64">
        <f>IFERROR('📊 ANUAL MKTPLACES'!B5/4.33,0)</f>
        <v>0</v>
      </c>
      <c r="E6" s="65"/>
      <c r="F6" s="7" t="str">
        <f t="shared" ref="F6:F18" si="0">IFERROR(E6/D6,"-")</f>
        <v>-</v>
      </c>
      <c r="G6" s="65"/>
      <c r="H6" s="9" t="str">
        <f t="shared" ref="H6:H18" si="1">IFERROR(G6/E6,"-")</f>
        <v>-</v>
      </c>
      <c r="I6" s="66" t="str">
        <f t="shared" ref="I6:I18" si="2">IFERROR(E6/G6,"-")</f>
        <v>-</v>
      </c>
      <c r="J6" s="65"/>
      <c r="K6" s="98"/>
      <c r="L6" s="65"/>
      <c r="M6" s="9" t="str">
        <f t="shared" ref="M6:M18" si="3">IFERROR(J6/L6,"-")</f>
        <v>-</v>
      </c>
    </row>
    <row r="7" spans="1:13" ht="15.75" customHeight="1" x14ac:dyDescent="0.25">
      <c r="A7" s="99" t="s">
        <v>212</v>
      </c>
      <c r="B7" s="100" t="s">
        <v>213</v>
      </c>
      <c r="C7" s="73"/>
      <c r="D7" s="64">
        <f>IFERROR('📊 ANUAL MKTPLACES'!B5/4.33,0)</f>
        <v>0</v>
      </c>
      <c r="E7" s="65"/>
      <c r="F7" s="101" t="str">
        <f t="shared" si="0"/>
        <v>-</v>
      </c>
      <c r="G7" s="65"/>
      <c r="H7" s="79" t="str">
        <f t="shared" si="1"/>
        <v>-</v>
      </c>
      <c r="I7" s="80" t="str">
        <f t="shared" si="2"/>
        <v>-</v>
      </c>
      <c r="J7" s="65"/>
      <c r="K7" s="98"/>
      <c r="L7" s="65"/>
      <c r="M7" s="79" t="str">
        <f t="shared" si="3"/>
        <v>-</v>
      </c>
    </row>
    <row r="8" spans="1:13" ht="15.75" customHeight="1" x14ac:dyDescent="0.25">
      <c r="A8" s="96" t="s">
        <v>214</v>
      </c>
      <c r="B8" s="97" t="s">
        <v>215</v>
      </c>
      <c r="C8" s="73"/>
      <c r="D8" s="64">
        <f>IFERROR('📊 ANUAL MKTPLACES'!B5/4.33,0)</f>
        <v>0</v>
      </c>
      <c r="E8" s="65"/>
      <c r="F8" s="7" t="str">
        <f t="shared" si="0"/>
        <v>-</v>
      </c>
      <c r="G8" s="65"/>
      <c r="H8" s="9" t="str">
        <f t="shared" si="1"/>
        <v>-</v>
      </c>
      <c r="I8" s="66" t="str">
        <f t="shared" si="2"/>
        <v>-</v>
      </c>
      <c r="J8" s="65"/>
      <c r="K8" s="98"/>
      <c r="L8" s="65"/>
      <c r="M8" s="9" t="str">
        <f t="shared" si="3"/>
        <v>-</v>
      </c>
    </row>
    <row r="9" spans="1:13" ht="15.75" customHeight="1" x14ac:dyDescent="0.25">
      <c r="A9" s="99" t="s">
        <v>216</v>
      </c>
      <c r="B9" s="100" t="s">
        <v>217</v>
      </c>
      <c r="C9" s="73"/>
      <c r="D9" s="64">
        <f>IFERROR('📊 ANUAL MKTPLACES'!B5/4.33,0)</f>
        <v>0</v>
      </c>
      <c r="E9" s="65"/>
      <c r="F9" s="101" t="str">
        <f t="shared" si="0"/>
        <v>-</v>
      </c>
      <c r="G9" s="65"/>
      <c r="H9" s="79" t="str">
        <f t="shared" si="1"/>
        <v>-</v>
      </c>
      <c r="I9" s="80" t="str">
        <f t="shared" si="2"/>
        <v>-</v>
      </c>
      <c r="J9" s="65"/>
      <c r="K9" s="98"/>
      <c r="L9" s="65"/>
      <c r="M9" s="79" t="str">
        <f t="shared" si="3"/>
        <v>-</v>
      </c>
    </row>
    <row r="10" spans="1:13" ht="15.75" customHeight="1" x14ac:dyDescent="0.25">
      <c r="A10" s="96" t="s">
        <v>218</v>
      </c>
      <c r="B10" s="97" t="s">
        <v>219</v>
      </c>
      <c r="C10" s="73"/>
      <c r="D10" s="64">
        <f>IFERROR('📊 ANUAL MKTPLACES'!C5/4.33,0)</f>
        <v>0</v>
      </c>
      <c r="E10" s="65"/>
      <c r="F10" s="7" t="str">
        <f t="shared" si="0"/>
        <v>-</v>
      </c>
      <c r="G10" s="65"/>
      <c r="H10" s="9" t="str">
        <f t="shared" si="1"/>
        <v>-</v>
      </c>
      <c r="I10" s="66" t="str">
        <f t="shared" si="2"/>
        <v>-</v>
      </c>
      <c r="J10" s="65"/>
      <c r="K10" s="98"/>
      <c r="L10" s="65"/>
      <c r="M10" s="9" t="str">
        <f t="shared" si="3"/>
        <v>-</v>
      </c>
    </row>
    <row r="11" spans="1:13" ht="15.75" customHeight="1" x14ac:dyDescent="0.25">
      <c r="A11" s="99" t="s">
        <v>220</v>
      </c>
      <c r="B11" s="100" t="s">
        <v>221</v>
      </c>
      <c r="C11" s="73"/>
      <c r="D11" s="64">
        <f>IFERROR('📊 ANUAL MKTPLACES'!C5/4.33,0)</f>
        <v>0</v>
      </c>
      <c r="E11" s="65"/>
      <c r="F11" s="101" t="str">
        <f t="shared" si="0"/>
        <v>-</v>
      </c>
      <c r="G11" s="65"/>
      <c r="H11" s="79" t="str">
        <f t="shared" si="1"/>
        <v>-</v>
      </c>
      <c r="I11" s="80" t="str">
        <f t="shared" si="2"/>
        <v>-</v>
      </c>
      <c r="J11" s="65"/>
      <c r="K11" s="98"/>
      <c r="L11" s="65"/>
      <c r="M11" s="79" t="str">
        <f t="shared" si="3"/>
        <v>-</v>
      </c>
    </row>
    <row r="12" spans="1:13" ht="15.75" customHeight="1" x14ac:dyDescent="0.25">
      <c r="A12" s="96" t="s">
        <v>222</v>
      </c>
      <c r="B12" s="97" t="s">
        <v>223</v>
      </c>
      <c r="C12" s="73"/>
      <c r="D12" s="64">
        <f>IFERROR('📊 ANUAL MKTPLACES'!C5/4.33,0)</f>
        <v>0</v>
      </c>
      <c r="E12" s="65"/>
      <c r="F12" s="7" t="str">
        <f t="shared" si="0"/>
        <v>-</v>
      </c>
      <c r="G12" s="65"/>
      <c r="H12" s="9" t="str">
        <f t="shared" si="1"/>
        <v>-</v>
      </c>
      <c r="I12" s="66" t="str">
        <f t="shared" si="2"/>
        <v>-</v>
      </c>
      <c r="J12" s="65"/>
      <c r="K12" s="98"/>
      <c r="L12" s="65"/>
      <c r="M12" s="9" t="str">
        <f t="shared" si="3"/>
        <v>-</v>
      </c>
    </row>
    <row r="13" spans="1:13" ht="15.75" customHeight="1" x14ac:dyDescent="0.25">
      <c r="A13" s="99" t="s">
        <v>224</v>
      </c>
      <c r="B13" s="100" t="s">
        <v>225</v>
      </c>
      <c r="C13" s="73"/>
      <c r="D13" s="64">
        <f>IFERROR('📊 ANUAL MKTPLACES'!C5/4.33,0)</f>
        <v>0</v>
      </c>
      <c r="E13" s="65"/>
      <c r="F13" s="101" t="str">
        <f t="shared" si="0"/>
        <v>-</v>
      </c>
      <c r="G13" s="65"/>
      <c r="H13" s="79" t="str">
        <f t="shared" si="1"/>
        <v>-</v>
      </c>
      <c r="I13" s="80" t="str">
        <f t="shared" si="2"/>
        <v>-</v>
      </c>
      <c r="J13" s="65"/>
      <c r="K13" s="98"/>
      <c r="L13" s="65"/>
      <c r="M13" s="79" t="str">
        <f t="shared" si="3"/>
        <v>-</v>
      </c>
    </row>
    <row r="14" spans="1:13" ht="15.75" customHeight="1" x14ac:dyDescent="0.25">
      <c r="A14" s="96" t="s">
        <v>226</v>
      </c>
      <c r="B14" s="97" t="s">
        <v>227</v>
      </c>
      <c r="C14" s="73"/>
      <c r="D14" s="64">
        <f>IFERROR('📊 ANUAL MKTPLACES'!D5/4.33,0)</f>
        <v>0</v>
      </c>
      <c r="E14" s="65"/>
      <c r="F14" s="7" t="str">
        <f t="shared" si="0"/>
        <v>-</v>
      </c>
      <c r="G14" s="65"/>
      <c r="H14" s="9" t="str">
        <f t="shared" si="1"/>
        <v>-</v>
      </c>
      <c r="I14" s="66" t="str">
        <f t="shared" si="2"/>
        <v>-</v>
      </c>
      <c r="J14" s="65"/>
      <c r="K14" s="98"/>
      <c r="L14" s="65"/>
      <c r="M14" s="9" t="str">
        <f t="shared" si="3"/>
        <v>-</v>
      </c>
    </row>
    <row r="15" spans="1:13" ht="15.75" customHeight="1" x14ac:dyDescent="0.25">
      <c r="A15" s="99" t="s">
        <v>228</v>
      </c>
      <c r="B15" s="100" t="s">
        <v>229</v>
      </c>
      <c r="C15" s="73"/>
      <c r="D15" s="64">
        <f>IFERROR('📊 ANUAL MKTPLACES'!D5/4.33,0)</f>
        <v>0</v>
      </c>
      <c r="E15" s="65"/>
      <c r="F15" s="101" t="str">
        <f t="shared" si="0"/>
        <v>-</v>
      </c>
      <c r="G15" s="65"/>
      <c r="H15" s="79" t="str">
        <f t="shared" si="1"/>
        <v>-</v>
      </c>
      <c r="I15" s="80" t="str">
        <f t="shared" si="2"/>
        <v>-</v>
      </c>
      <c r="J15" s="65"/>
      <c r="K15" s="98"/>
      <c r="L15" s="65"/>
      <c r="M15" s="79" t="str">
        <f t="shared" si="3"/>
        <v>-</v>
      </c>
    </row>
    <row r="16" spans="1:13" ht="15.75" customHeight="1" x14ac:dyDescent="0.25">
      <c r="A16" s="96" t="s">
        <v>230</v>
      </c>
      <c r="B16" s="97" t="s">
        <v>231</v>
      </c>
      <c r="C16" s="73"/>
      <c r="D16" s="64">
        <f>IFERROR('📊 ANUAL MKTPLACES'!D5/4.33,0)</f>
        <v>0</v>
      </c>
      <c r="E16" s="65"/>
      <c r="F16" s="7" t="str">
        <f t="shared" si="0"/>
        <v>-</v>
      </c>
      <c r="G16" s="65"/>
      <c r="H16" s="9" t="str">
        <f t="shared" si="1"/>
        <v>-</v>
      </c>
      <c r="I16" s="66" t="str">
        <f t="shared" si="2"/>
        <v>-</v>
      </c>
      <c r="J16" s="65"/>
      <c r="K16" s="98"/>
      <c r="L16" s="65"/>
      <c r="M16" s="9" t="str">
        <f t="shared" si="3"/>
        <v>-</v>
      </c>
    </row>
    <row r="17" spans="1:13" ht="15.75" customHeight="1" x14ac:dyDescent="0.25">
      <c r="A17" s="99" t="s">
        <v>232</v>
      </c>
      <c r="B17" s="100" t="s">
        <v>233</v>
      </c>
      <c r="C17" s="73"/>
      <c r="D17" s="64">
        <f>IFERROR('📊 ANUAL MKTPLACES'!D5/4.33,0)</f>
        <v>0</v>
      </c>
      <c r="E17" s="65"/>
      <c r="F17" s="101" t="str">
        <f t="shared" si="0"/>
        <v>-</v>
      </c>
      <c r="G17" s="65"/>
      <c r="H17" s="79" t="str">
        <f t="shared" si="1"/>
        <v>-</v>
      </c>
      <c r="I17" s="80" t="str">
        <f t="shared" si="2"/>
        <v>-</v>
      </c>
      <c r="J17" s="65"/>
      <c r="K17" s="98"/>
      <c r="L17" s="65"/>
      <c r="M17" s="79" t="str">
        <f t="shared" si="3"/>
        <v>-</v>
      </c>
    </row>
    <row r="18" spans="1:13" ht="21.75" customHeight="1" x14ac:dyDescent="0.25">
      <c r="A18" s="126" t="s">
        <v>234</v>
      </c>
      <c r="B18" s="126"/>
      <c r="D18" s="86">
        <f>IFERROR(SUM(D6:D17),"-")</f>
        <v>0</v>
      </c>
      <c r="E18" s="86">
        <f>IFERROR(SUM(E6:E17),"-")</f>
        <v>0</v>
      </c>
      <c r="F18" s="102" t="str">
        <f t="shared" si="0"/>
        <v>-</v>
      </c>
      <c r="G18" s="86">
        <f>IFERROR(SUM(G6:G17),"-")</f>
        <v>0</v>
      </c>
      <c r="H18" s="88" t="str">
        <f t="shared" si="1"/>
        <v>-</v>
      </c>
      <c r="I18" s="89" t="str">
        <f t="shared" si="2"/>
        <v>-</v>
      </c>
      <c r="J18" s="86">
        <f>IFERROR(SUM(J6:J17),"-")</f>
        <v>0</v>
      </c>
      <c r="K18" s="87" t="str">
        <f>IFERROR(E18/J18,"-")</f>
        <v>-</v>
      </c>
      <c r="L18" s="86">
        <f>IFERROR(SUM(L6:L17),"-")</f>
        <v>0</v>
      </c>
      <c r="M18" s="88" t="str">
        <f t="shared" si="3"/>
        <v>-</v>
      </c>
    </row>
    <row r="20" spans="1:13" ht="19.5" customHeight="1" x14ac:dyDescent="0.25">
      <c r="A20" s="123" t="s">
        <v>235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</row>
    <row r="21" spans="1:13" ht="18" customHeight="1" x14ac:dyDescent="0.25">
      <c r="A21" s="1" t="s">
        <v>205</v>
      </c>
      <c r="B21" s="1" t="s">
        <v>206</v>
      </c>
      <c r="C21" s="1" t="s">
        <v>207</v>
      </c>
      <c r="D21" s="1" t="s">
        <v>208</v>
      </c>
      <c r="E21" s="1" t="s">
        <v>209</v>
      </c>
      <c r="F21" s="1" t="s">
        <v>21</v>
      </c>
      <c r="G21" s="1" t="s">
        <v>182</v>
      </c>
      <c r="H21" s="1" t="s">
        <v>23</v>
      </c>
      <c r="I21" s="1" t="s">
        <v>164</v>
      </c>
      <c r="J21" s="1" t="s">
        <v>178</v>
      </c>
      <c r="K21" s="1" t="s">
        <v>179</v>
      </c>
      <c r="L21" s="1" t="s">
        <v>180</v>
      </c>
      <c r="M21" s="1" t="s">
        <v>181</v>
      </c>
    </row>
    <row r="22" spans="1:13" ht="15.75" customHeight="1" x14ac:dyDescent="0.25">
      <c r="A22" s="99" t="s">
        <v>236</v>
      </c>
      <c r="B22" s="100" t="s">
        <v>237</v>
      </c>
      <c r="C22" s="73"/>
      <c r="D22" s="64">
        <f>IFERROR('📊 ANUAL MKTPLACES'!E5/4.33,0)</f>
        <v>0</v>
      </c>
      <c r="E22" s="65"/>
      <c r="F22" s="101" t="str">
        <f t="shared" ref="F22:F34" si="4">IFERROR(E22/D22,"-")</f>
        <v>-</v>
      </c>
      <c r="G22" s="65"/>
      <c r="H22" s="79" t="str">
        <f t="shared" ref="H22:H34" si="5">IFERROR(G22/E22,"-")</f>
        <v>-</v>
      </c>
      <c r="I22" s="80" t="str">
        <f t="shared" ref="I22:I34" si="6">IFERROR(E22/G22,"-")</f>
        <v>-</v>
      </c>
      <c r="J22" s="65"/>
      <c r="K22" s="98"/>
      <c r="L22" s="65"/>
      <c r="M22" s="79" t="str">
        <f t="shared" ref="M22:M34" si="7">IFERROR(J22/L22,"-")</f>
        <v>-</v>
      </c>
    </row>
    <row r="23" spans="1:13" ht="15.75" customHeight="1" x14ac:dyDescent="0.25">
      <c r="A23" s="96" t="s">
        <v>238</v>
      </c>
      <c r="B23" s="97" t="s">
        <v>239</v>
      </c>
      <c r="C23" s="73"/>
      <c r="D23" s="64">
        <f>IFERROR('📊 ANUAL MKTPLACES'!E5/4.33,0)</f>
        <v>0</v>
      </c>
      <c r="E23" s="65"/>
      <c r="F23" s="7" t="str">
        <f t="shared" si="4"/>
        <v>-</v>
      </c>
      <c r="G23" s="65"/>
      <c r="H23" s="9" t="str">
        <f t="shared" si="5"/>
        <v>-</v>
      </c>
      <c r="I23" s="66" t="str">
        <f t="shared" si="6"/>
        <v>-</v>
      </c>
      <c r="J23" s="65"/>
      <c r="K23" s="98"/>
      <c r="L23" s="65"/>
      <c r="M23" s="9" t="str">
        <f t="shared" si="7"/>
        <v>-</v>
      </c>
    </row>
    <row r="24" spans="1:13" ht="15.75" customHeight="1" x14ac:dyDescent="0.25">
      <c r="A24" s="99" t="s">
        <v>240</v>
      </c>
      <c r="B24" s="100" t="s">
        <v>241</v>
      </c>
      <c r="C24" s="73"/>
      <c r="D24" s="64">
        <f>IFERROR('📊 ANUAL MKTPLACES'!E5/4.33,0)</f>
        <v>0</v>
      </c>
      <c r="E24" s="65"/>
      <c r="F24" s="101" t="str">
        <f t="shared" si="4"/>
        <v>-</v>
      </c>
      <c r="G24" s="65"/>
      <c r="H24" s="79" t="str">
        <f t="shared" si="5"/>
        <v>-</v>
      </c>
      <c r="I24" s="80" t="str">
        <f t="shared" si="6"/>
        <v>-</v>
      </c>
      <c r="J24" s="65"/>
      <c r="K24" s="98"/>
      <c r="L24" s="65"/>
      <c r="M24" s="79" t="str">
        <f t="shared" si="7"/>
        <v>-</v>
      </c>
    </row>
    <row r="25" spans="1:13" ht="15.75" customHeight="1" x14ac:dyDescent="0.25">
      <c r="A25" s="96" t="s">
        <v>242</v>
      </c>
      <c r="B25" s="97" t="s">
        <v>243</v>
      </c>
      <c r="C25" s="73"/>
      <c r="D25" s="64">
        <f>IFERROR('📊 ANUAL MKTPLACES'!F5/4.33,0)</f>
        <v>0</v>
      </c>
      <c r="E25" s="65"/>
      <c r="F25" s="7" t="str">
        <f t="shared" si="4"/>
        <v>-</v>
      </c>
      <c r="G25" s="65"/>
      <c r="H25" s="9" t="str">
        <f t="shared" si="5"/>
        <v>-</v>
      </c>
      <c r="I25" s="66" t="str">
        <f t="shared" si="6"/>
        <v>-</v>
      </c>
      <c r="J25" s="65"/>
      <c r="K25" s="98"/>
      <c r="L25" s="65"/>
      <c r="M25" s="9" t="str">
        <f t="shared" si="7"/>
        <v>-</v>
      </c>
    </row>
    <row r="26" spans="1:13" ht="15.75" customHeight="1" x14ac:dyDescent="0.25">
      <c r="A26" s="99" t="s">
        <v>244</v>
      </c>
      <c r="B26" s="100" t="s">
        <v>245</v>
      </c>
      <c r="C26" s="73"/>
      <c r="D26" s="64">
        <f>IFERROR('📊 ANUAL MKTPLACES'!F5/4.33,0)</f>
        <v>0</v>
      </c>
      <c r="E26" s="65"/>
      <c r="F26" s="101" t="str">
        <f t="shared" si="4"/>
        <v>-</v>
      </c>
      <c r="G26" s="65"/>
      <c r="H26" s="79" t="str">
        <f t="shared" si="5"/>
        <v>-</v>
      </c>
      <c r="I26" s="80" t="str">
        <f t="shared" si="6"/>
        <v>-</v>
      </c>
      <c r="J26" s="65"/>
      <c r="K26" s="98"/>
      <c r="L26" s="65"/>
      <c r="M26" s="79" t="str">
        <f t="shared" si="7"/>
        <v>-</v>
      </c>
    </row>
    <row r="27" spans="1:13" ht="15.75" customHeight="1" x14ac:dyDescent="0.25">
      <c r="A27" s="96" t="s">
        <v>246</v>
      </c>
      <c r="B27" s="97" t="s">
        <v>247</v>
      </c>
      <c r="C27" s="73"/>
      <c r="D27" s="64">
        <f>IFERROR('📊 ANUAL MKTPLACES'!F5/4.33,0)</f>
        <v>0</v>
      </c>
      <c r="E27" s="65"/>
      <c r="F27" s="7" t="str">
        <f t="shared" si="4"/>
        <v>-</v>
      </c>
      <c r="G27" s="65"/>
      <c r="H27" s="9" t="str">
        <f t="shared" si="5"/>
        <v>-</v>
      </c>
      <c r="I27" s="66" t="str">
        <f t="shared" si="6"/>
        <v>-</v>
      </c>
      <c r="J27" s="65"/>
      <c r="K27" s="98"/>
      <c r="L27" s="65"/>
      <c r="M27" s="9" t="str">
        <f t="shared" si="7"/>
        <v>-</v>
      </c>
    </row>
    <row r="28" spans="1:13" ht="15.75" customHeight="1" x14ac:dyDescent="0.25">
      <c r="A28" s="99" t="s">
        <v>248</v>
      </c>
      <c r="B28" s="100" t="s">
        <v>249</v>
      </c>
      <c r="C28" s="73"/>
      <c r="D28" s="64">
        <f>IFERROR('📊 ANUAL MKTPLACES'!F5/4.33,0)</f>
        <v>0</v>
      </c>
      <c r="E28" s="65"/>
      <c r="F28" s="101" t="str">
        <f t="shared" si="4"/>
        <v>-</v>
      </c>
      <c r="G28" s="65"/>
      <c r="H28" s="79" t="str">
        <f t="shared" si="5"/>
        <v>-</v>
      </c>
      <c r="I28" s="80" t="str">
        <f t="shared" si="6"/>
        <v>-</v>
      </c>
      <c r="J28" s="65"/>
      <c r="K28" s="98"/>
      <c r="L28" s="65"/>
      <c r="M28" s="79" t="str">
        <f t="shared" si="7"/>
        <v>-</v>
      </c>
    </row>
    <row r="29" spans="1:13" ht="15.75" customHeight="1" x14ac:dyDescent="0.25">
      <c r="A29" s="96" t="s">
        <v>250</v>
      </c>
      <c r="B29" s="97" t="s">
        <v>251</v>
      </c>
      <c r="C29" s="73"/>
      <c r="D29" s="64">
        <f>IFERROR('📊 ANUAL MKTPLACES'!F5/4.33,0)</f>
        <v>0</v>
      </c>
      <c r="E29" s="65"/>
      <c r="F29" s="7" t="str">
        <f t="shared" si="4"/>
        <v>-</v>
      </c>
      <c r="G29" s="65"/>
      <c r="H29" s="9" t="str">
        <f t="shared" si="5"/>
        <v>-</v>
      </c>
      <c r="I29" s="66" t="str">
        <f t="shared" si="6"/>
        <v>-</v>
      </c>
      <c r="J29" s="65"/>
      <c r="K29" s="98"/>
      <c r="L29" s="65"/>
      <c r="M29" s="9" t="str">
        <f t="shared" si="7"/>
        <v>-</v>
      </c>
    </row>
    <row r="30" spans="1:13" ht="15.75" customHeight="1" x14ac:dyDescent="0.25">
      <c r="A30" s="99" t="s">
        <v>252</v>
      </c>
      <c r="B30" s="100" t="s">
        <v>253</v>
      </c>
      <c r="C30" s="73"/>
      <c r="D30" s="64">
        <f>IFERROR('📊 ANUAL MKTPLACES'!G5/4.33,0)</f>
        <v>0</v>
      </c>
      <c r="E30" s="65"/>
      <c r="F30" s="101" t="str">
        <f t="shared" si="4"/>
        <v>-</v>
      </c>
      <c r="G30" s="65"/>
      <c r="H30" s="79" t="str">
        <f t="shared" si="5"/>
        <v>-</v>
      </c>
      <c r="I30" s="80" t="str">
        <f t="shared" si="6"/>
        <v>-</v>
      </c>
      <c r="J30" s="65"/>
      <c r="K30" s="98"/>
      <c r="L30" s="65"/>
      <c r="M30" s="79" t="str">
        <f t="shared" si="7"/>
        <v>-</v>
      </c>
    </row>
    <row r="31" spans="1:13" ht="15.75" customHeight="1" x14ac:dyDescent="0.25">
      <c r="A31" s="96" t="s">
        <v>254</v>
      </c>
      <c r="B31" s="97" t="s">
        <v>255</v>
      </c>
      <c r="C31" s="73"/>
      <c r="D31" s="64">
        <f>IFERROR('📊 ANUAL MKTPLACES'!G5/4.33,0)</f>
        <v>0</v>
      </c>
      <c r="E31" s="65"/>
      <c r="F31" s="7" t="str">
        <f t="shared" si="4"/>
        <v>-</v>
      </c>
      <c r="G31" s="65"/>
      <c r="H31" s="9" t="str">
        <f t="shared" si="5"/>
        <v>-</v>
      </c>
      <c r="I31" s="66" t="str">
        <f t="shared" si="6"/>
        <v>-</v>
      </c>
      <c r="J31" s="65"/>
      <c r="K31" s="98"/>
      <c r="L31" s="65"/>
      <c r="M31" s="9" t="str">
        <f t="shared" si="7"/>
        <v>-</v>
      </c>
    </row>
    <row r="32" spans="1:13" ht="15.75" customHeight="1" x14ac:dyDescent="0.25">
      <c r="A32" s="99" t="s">
        <v>256</v>
      </c>
      <c r="B32" s="100" t="s">
        <v>257</v>
      </c>
      <c r="C32" s="73"/>
      <c r="D32" s="64">
        <f>IFERROR('📊 ANUAL MKTPLACES'!G5/4.33,0)</f>
        <v>0</v>
      </c>
      <c r="E32" s="65"/>
      <c r="F32" s="101" t="str">
        <f t="shared" si="4"/>
        <v>-</v>
      </c>
      <c r="G32" s="65"/>
      <c r="H32" s="79" t="str">
        <f t="shared" si="5"/>
        <v>-</v>
      </c>
      <c r="I32" s="80" t="str">
        <f t="shared" si="6"/>
        <v>-</v>
      </c>
      <c r="J32" s="65"/>
      <c r="K32" s="98"/>
      <c r="L32" s="65"/>
      <c r="M32" s="79" t="str">
        <f t="shared" si="7"/>
        <v>-</v>
      </c>
    </row>
    <row r="33" spans="1:13" ht="15.75" customHeight="1" x14ac:dyDescent="0.25">
      <c r="A33" s="96" t="s">
        <v>258</v>
      </c>
      <c r="B33" s="97" t="s">
        <v>259</v>
      </c>
      <c r="C33" s="73"/>
      <c r="D33" s="64">
        <f>IFERROR('📊 ANUAL MKTPLACES'!G5/4.33,0)</f>
        <v>0</v>
      </c>
      <c r="E33" s="65"/>
      <c r="F33" s="7" t="str">
        <f t="shared" si="4"/>
        <v>-</v>
      </c>
      <c r="G33" s="65"/>
      <c r="H33" s="9" t="str">
        <f t="shared" si="5"/>
        <v>-</v>
      </c>
      <c r="I33" s="66" t="str">
        <f t="shared" si="6"/>
        <v>-</v>
      </c>
      <c r="J33" s="65"/>
      <c r="K33" s="98"/>
      <c r="L33" s="65"/>
      <c r="M33" s="9" t="str">
        <f t="shared" si="7"/>
        <v>-</v>
      </c>
    </row>
    <row r="34" spans="1:13" ht="21.75" customHeight="1" x14ac:dyDescent="0.25">
      <c r="A34" s="126" t="s">
        <v>260</v>
      </c>
      <c r="B34" s="126"/>
      <c r="D34" s="86">
        <f>IFERROR(SUM(D22:D33),"-")</f>
        <v>0</v>
      </c>
      <c r="E34" s="86">
        <f>IFERROR(SUM(E22:E33),"-")</f>
        <v>0</v>
      </c>
      <c r="F34" s="102" t="str">
        <f t="shared" si="4"/>
        <v>-</v>
      </c>
      <c r="G34" s="86">
        <f>IFERROR(SUM(G22:G33),"-")</f>
        <v>0</v>
      </c>
      <c r="H34" s="88" t="str">
        <f t="shared" si="5"/>
        <v>-</v>
      </c>
      <c r="I34" s="89" t="str">
        <f t="shared" si="6"/>
        <v>-</v>
      </c>
      <c r="J34" s="86">
        <f>IFERROR(SUM(J22:J33),"-")</f>
        <v>0</v>
      </c>
      <c r="K34" s="87" t="str">
        <f>IFERROR(E34/J34,"-")</f>
        <v>-</v>
      </c>
      <c r="L34" s="86">
        <f>IFERROR(SUM(L22:L33),"-")</f>
        <v>0</v>
      </c>
      <c r="M34" s="88" t="str">
        <f t="shared" si="7"/>
        <v>-</v>
      </c>
    </row>
    <row r="36" spans="1:13" ht="19.5" customHeight="1" x14ac:dyDescent="0.25">
      <c r="A36" s="123" t="s">
        <v>261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</row>
    <row r="37" spans="1:13" ht="18" customHeight="1" x14ac:dyDescent="0.25">
      <c r="A37" s="1" t="s">
        <v>205</v>
      </c>
      <c r="B37" s="1" t="s">
        <v>206</v>
      </c>
      <c r="C37" s="1" t="s">
        <v>207</v>
      </c>
      <c r="D37" s="1" t="s">
        <v>208</v>
      </c>
      <c r="E37" s="1" t="s">
        <v>209</v>
      </c>
      <c r="F37" s="1" t="s">
        <v>21</v>
      </c>
      <c r="G37" s="1" t="s">
        <v>182</v>
      </c>
      <c r="H37" s="1" t="s">
        <v>23</v>
      </c>
      <c r="I37" s="1" t="s">
        <v>164</v>
      </c>
      <c r="J37" s="1" t="s">
        <v>178</v>
      </c>
      <c r="K37" s="1" t="s">
        <v>179</v>
      </c>
      <c r="L37" s="1" t="s">
        <v>180</v>
      </c>
      <c r="M37" s="1" t="s">
        <v>181</v>
      </c>
    </row>
    <row r="38" spans="1:13" ht="15.75" customHeight="1" x14ac:dyDescent="0.25">
      <c r="A38" s="96" t="s">
        <v>262</v>
      </c>
      <c r="B38" s="97" t="s">
        <v>263</v>
      </c>
      <c r="C38" s="73"/>
      <c r="D38" s="64">
        <f>IFERROR('📊 ANUAL MKTPLACES'!H5/4.33,0)</f>
        <v>0</v>
      </c>
      <c r="E38" s="65"/>
      <c r="F38" s="7" t="str">
        <f t="shared" ref="F38:F50" si="8">IFERROR(E38/D38,"-")</f>
        <v>-</v>
      </c>
      <c r="G38" s="65"/>
      <c r="H38" s="9" t="str">
        <f t="shared" ref="H38:H50" si="9">IFERROR(G38/E38,"-")</f>
        <v>-</v>
      </c>
      <c r="I38" s="66" t="str">
        <f t="shared" ref="I38:I50" si="10">IFERROR(E38/G38,"-")</f>
        <v>-</v>
      </c>
      <c r="J38" s="65"/>
      <c r="K38" s="98"/>
      <c r="L38" s="65"/>
      <c r="M38" s="9" t="str">
        <f t="shared" ref="M38:M50" si="11">IFERROR(J38/L38,"-")</f>
        <v>-</v>
      </c>
    </row>
    <row r="39" spans="1:13" ht="15.75" customHeight="1" x14ac:dyDescent="0.25">
      <c r="A39" s="99" t="s">
        <v>264</v>
      </c>
      <c r="B39" s="100" t="s">
        <v>265</v>
      </c>
      <c r="C39" s="73"/>
      <c r="D39" s="64">
        <f>IFERROR('📊 ANUAL MKTPLACES'!H5/4.33,0)</f>
        <v>0</v>
      </c>
      <c r="E39" s="65"/>
      <c r="F39" s="101" t="str">
        <f t="shared" si="8"/>
        <v>-</v>
      </c>
      <c r="G39" s="65"/>
      <c r="H39" s="79" t="str">
        <f t="shared" si="9"/>
        <v>-</v>
      </c>
      <c r="I39" s="80" t="str">
        <f t="shared" si="10"/>
        <v>-</v>
      </c>
      <c r="J39" s="65"/>
      <c r="K39" s="98"/>
      <c r="L39" s="65"/>
      <c r="M39" s="79" t="str">
        <f t="shared" si="11"/>
        <v>-</v>
      </c>
    </row>
    <row r="40" spans="1:13" ht="15.75" customHeight="1" x14ac:dyDescent="0.25">
      <c r="A40" s="96" t="s">
        <v>266</v>
      </c>
      <c r="B40" s="97" t="s">
        <v>267</v>
      </c>
      <c r="C40" s="73"/>
      <c r="D40" s="64">
        <f>IFERROR('📊 ANUAL MKTPLACES'!H5/4.33,0)</f>
        <v>0</v>
      </c>
      <c r="E40" s="65"/>
      <c r="F40" s="7" t="str">
        <f t="shared" si="8"/>
        <v>-</v>
      </c>
      <c r="G40" s="65"/>
      <c r="H40" s="9" t="str">
        <f t="shared" si="9"/>
        <v>-</v>
      </c>
      <c r="I40" s="66" t="str">
        <f t="shared" si="10"/>
        <v>-</v>
      </c>
      <c r="J40" s="65"/>
      <c r="K40" s="98"/>
      <c r="L40" s="65"/>
      <c r="M40" s="9" t="str">
        <f t="shared" si="11"/>
        <v>-</v>
      </c>
    </row>
    <row r="41" spans="1:13" ht="15.75" customHeight="1" x14ac:dyDescent="0.25">
      <c r="A41" s="99" t="s">
        <v>268</v>
      </c>
      <c r="B41" s="100" t="s">
        <v>269</v>
      </c>
      <c r="C41" s="73"/>
      <c r="D41" s="64">
        <f>IFERROR('📊 ANUAL MKTPLACES'!H5/4.33,0)</f>
        <v>0</v>
      </c>
      <c r="E41" s="65"/>
      <c r="F41" s="101" t="str">
        <f t="shared" si="8"/>
        <v>-</v>
      </c>
      <c r="G41" s="65"/>
      <c r="H41" s="79" t="str">
        <f t="shared" si="9"/>
        <v>-</v>
      </c>
      <c r="I41" s="80" t="str">
        <f t="shared" si="10"/>
        <v>-</v>
      </c>
      <c r="J41" s="65"/>
      <c r="K41" s="98"/>
      <c r="L41" s="65"/>
      <c r="M41" s="79" t="str">
        <f t="shared" si="11"/>
        <v>-</v>
      </c>
    </row>
    <row r="42" spans="1:13" ht="15.75" customHeight="1" x14ac:dyDescent="0.25">
      <c r="A42" s="96" t="s">
        <v>270</v>
      </c>
      <c r="B42" s="97" t="s">
        <v>271</v>
      </c>
      <c r="C42" s="73"/>
      <c r="D42" s="64">
        <f>IFERROR('📊 ANUAL MKTPLACES'!I5/4.33,0)</f>
        <v>0</v>
      </c>
      <c r="E42" s="65"/>
      <c r="F42" s="7" t="str">
        <f t="shared" si="8"/>
        <v>-</v>
      </c>
      <c r="G42" s="65"/>
      <c r="H42" s="9" t="str">
        <f t="shared" si="9"/>
        <v>-</v>
      </c>
      <c r="I42" s="66" t="str">
        <f t="shared" si="10"/>
        <v>-</v>
      </c>
      <c r="J42" s="65"/>
      <c r="K42" s="98"/>
      <c r="L42" s="65"/>
      <c r="M42" s="9" t="str">
        <f t="shared" si="11"/>
        <v>-</v>
      </c>
    </row>
    <row r="43" spans="1:13" ht="15.75" customHeight="1" x14ac:dyDescent="0.25">
      <c r="A43" s="99" t="s">
        <v>272</v>
      </c>
      <c r="B43" s="100" t="s">
        <v>273</v>
      </c>
      <c r="C43" s="73"/>
      <c r="D43" s="64">
        <f>IFERROR('📊 ANUAL MKTPLACES'!I5/4.33,0)</f>
        <v>0</v>
      </c>
      <c r="E43" s="65"/>
      <c r="F43" s="101" t="str">
        <f t="shared" si="8"/>
        <v>-</v>
      </c>
      <c r="G43" s="65"/>
      <c r="H43" s="79" t="str">
        <f t="shared" si="9"/>
        <v>-</v>
      </c>
      <c r="I43" s="80" t="str">
        <f t="shared" si="10"/>
        <v>-</v>
      </c>
      <c r="J43" s="65"/>
      <c r="K43" s="98"/>
      <c r="L43" s="65"/>
      <c r="M43" s="79" t="str">
        <f t="shared" si="11"/>
        <v>-</v>
      </c>
    </row>
    <row r="44" spans="1:13" ht="15.75" customHeight="1" x14ac:dyDescent="0.25">
      <c r="A44" s="96" t="s">
        <v>274</v>
      </c>
      <c r="B44" s="97" t="s">
        <v>275</v>
      </c>
      <c r="C44" s="73"/>
      <c r="D44" s="64">
        <f>IFERROR('📊 ANUAL MKTPLACES'!I5/4.33,0)</f>
        <v>0</v>
      </c>
      <c r="E44" s="65"/>
      <c r="F44" s="7" t="str">
        <f t="shared" si="8"/>
        <v>-</v>
      </c>
      <c r="G44" s="65"/>
      <c r="H44" s="9" t="str">
        <f t="shared" si="9"/>
        <v>-</v>
      </c>
      <c r="I44" s="66" t="str">
        <f t="shared" si="10"/>
        <v>-</v>
      </c>
      <c r="J44" s="65"/>
      <c r="K44" s="98"/>
      <c r="L44" s="65"/>
      <c r="M44" s="9" t="str">
        <f t="shared" si="11"/>
        <v>-</v>
      </c>
    </row>
    <row r="45" spans="1:13" ht="15.75" customHeight="1" x14ac:dyDescent="0.25">
      <c r="A45" s="99" t="s">
        <v>276</v>
      </c>
      <c r="B45" s="100" t="s">
        <v>277</v>
      </c>
      <c r="C45" s="73"/>
      <c r="D45" s="64">
        <f>IFERROR('📊 ANUAL MKTPLACES'!I5/4.33,0)</f>
        <v>0</v>
      </c>
      <c r="E45" s="65"/>
      <c r="F45" s="101" t="str">
        <f t="shared" si="8"/>
        <v>-</v>
      </c>
      <c r="G45" s="65"/>
      <c r="H45" s="79" t="str">
        <f t="shared" si="9"/>
        <v>-</v>
      </c>
      <c r="I45" s="80" t="str">
        <f t="shared" si="10"/>
        <v>-</v>
      </c>
      <c r="J45" s="65"/>
      <c r="K45" s="98"/>
      <c r="L45" s="65"/>
      <c r="M45" s="79" t="str">
        <f t="shared" si="11"/>
        <v>-</v>
      </c>
    </row>
    <row r="46" spans="1:13" ht="15.75" customHeight="1" x14ac:dyDescent="0.25">
      <c r="A46" s="96" t="s">
        <v>278</v>
      </c>
      <c r="B46" s="97" t="s">
        <v>279</v>
      </c>
      <c r="C46" s="73"/>
      <c r="D46" s="64">
        <f>IFERROR('📊 ANUAL MKTPLACES'!J5/4.33,0)</f>
        <v>0</v>
      </c>
      <c r="E46" s="65"/>
      <c r="F46" s="7" t="str">
        <f t="shared" si="8"/>
        <v>-</v>
      </c>
      <c r="G46" s="65"/>
      <c r="H46" s="9" t="str">
        <f t="shared" si="9"/>
        <v>-</v>
      </c>
      <c r="I46" s="66" t="str">
        <f t="shared" si="10"/>
        <v>-</v>
      </c>
      <c r="J46" s="65"/>
      <c r="K46" s="98"/>
      <c r="L46" s="65"/>
      <c r="M46" s="9" t="str">
        <f t="shared" si="11"/>
        <v>-</v>
      </c>
    </row>
    <row r="47" spans="1:13" ht="15.75" customHeight="1" x14ac:dyDescent="0.25">
      <c r="A47" s="99" t="s">
        <v>280</v>
      </c>
      <c r="B47" s="100" t="s">
        <v>281</v>
      </c>
      <c r="C47" s="73"/>
      <c r="D47" s="64">
        <f>IFERROR('📊 ANUAL MKTPLACES'!J5/4.33,0)</f>
        <v>0</v>
      </c>
      <c r="E47" s="65"/>
      <c r="F47" s="101" t="str">
        <f t="shared" si="8"/>
        <v>-</v>
      </c>
      <c r="G47" s="65"/>
      <c r="H47" s="79" t="str">
        <f t="shared" si="9"/>
        <v>-</v>
      </c>
      <c r="I47" s="80" t="str">
        <f t="shared" si="10"/>
        <v>-</v>
      </c>
      <c r="J47" s="65"/>
      <c r="K47" s="98"/>
      <c r="L47" s="65"/>
      <c r="M47" s="79" t="str">
        <f t="shared" si="11"/>
        <v>-</v>
      </c>
    </row>
    <row r="48" spans="1:13" ht="15.75" customHeight="1" x14ac:dyDescent="0.25">
      <c r="A48" s="96" t="s">
        <v>282</v>
      </c>
      <c r="B48" s="97" t="s">
        <v>283</v>
      </c>
      <c r="C48" s="73"/>
      <c r="D48" s="64">
        <f>IFERROR('📊 ANUAL MKTPLACES'!J5/4.33,0)</f>
        <v>0</v>
      </c>
      <c r="E48" s="65"/>
      <c r="F48" s="7" t="str">
        <f t="shared" si="8"/>
        <v>-</v>
      </c>
      <c r="G48" s="65"/>
      <c r="H48" s="9" t="str">
        <f t="shared" si="9"/>
        <v>-</v>
      </c>
      <c r="I48" s="66" t="str">
        <f t="shared" si="10"/>
        <v>-</v>
      </c>
      <c r="J48" s="65"/>
      <c r="K48" s="98"/>
      <c r="L48" s="65"/>
      <c r="M48" s="9" t="str">
        <f t="shared" si="11"/>
        <v>-</v>
      </c>
    </row>
    <row r="49" spans="1:13" ht="15.75" customHeight="1" x14ac:dyDescent="0.25">
      <c r="A49" s="99" t="s">
        <v>284</v>
      </c>
      <c r="B49" s="100" t="s">
        <v>285</v>
      </c>
      <c r="C49" s="73"/>
      <c r="D49" s="64">
        <f>IFERROR('📊 ANUAL MKTPLACES'!J5/4.33,0)</f>
        <v>0</v>
      </c>
      <c r="E49" s="65"/>
      <c r="F49" s="101" t="str">
        <f t="shared" si="8"/>
        <v>-</v>
      </c>
      <c r="G49" s="65"/>
      <c r="H49" s="79" t="str">
        <f t="shared" si="9"/>
        <v>-</v>
      </c>
      <c r="I49" s="80" t="str">
        <f t="shared" si="10"/>
        <v>-</v>
      </c>
      <c r="J49" s="65"/>
      <c r="K49" s="98"/>
      <c r="L49" s="65"/>
      <c r="M49" s="79" t="str">
        <f t="shared" si="11"/>
        <v>-</v>
      </c>
    </row>
    <row r="50" spans="1:13" ht="21.75" customHeight="1" x14ac:dyDescent="0.25">
      <c r="A50" s="126" t="s">
        <v>286</v>
      </c>
      <c r="B50" s="126"/>
      <c r="D50" s="86">
        <f>IFERROR(SUM(D38:D49),"-")</f>
        <v>0</v>
      </c>
      <c r="E50" s="86">
        <f>IFERROR(SUM(E38:E49),"-")</f>
        <v>0</v>
      </c>
      <c r="F50" s="102" t="str">
        <f t="shared" si="8"/>
        <v>-</v>
      </c>
      <c r="G50" s="86">
        <f>IFERROR(SUM(G38:G49),"-")</f>
        <v>0</v>
      </c>
      <c r="H50" s="88" t="str">
        <f t="shared" si="9"/>
        <v>-</v>
      </c>
      <c r="I50" s="89" t="str">
        <f t="shared" si="10"/>
        <v>-</v>
      </c>
      <c r="J50" s="86">
        <f>IFERROR(SUM(J38:J49),"-")</f>
        <v>0</v>
      </c>
      <c r="K50" s="87" t="str">
        <f>IFERROR(E50/J50,"-")</f>
        <v>-</v>
      </c>
      <c r="L50" s="86">
        <f>IFERROR(SUM(L38:L49),"-")</f>
        <v>0</v>
      </c>
      <c r="M50" s="88" t="str">
        <f t="shared" si="11"/>
        <v>-</v>
      </c>
    </row>
    <row r="52" spans="1:13" ht="19.5" customHeight="1" x14ac:dyDescent="0.25">
      <c r="A52" s="123" t="s">
        <v>287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</row>
    <row r="53" spans="1:13" ht="18" customHeight="1" x14ac:dyDescent="0.25">
      <c r="A53" s="1" t="s">
        <v>205</v>
      </c>
      <c r="B53" s="1" t="s">
        <v>206</v>
      </c>
      <c r="C53" s="1" t="s">
        <v>207</v>
      </c>
      <c r="D53" s="1" t="s">
        <v>208</v>
      </c>
      <c r="E53" s="1" t="s">
        <v>209</v>
      </c>
      <c r="F53" s="1" t="s">
        <v>21</v>
      </c>
      <c r="G53" s="1" t="s">
        <v>182</v>
      </c>
      <c r="H53" s="1" t="s">
        <v>23</v>
      </c>
      <c r="I53" s="1" t="s">
        <v>164</v>
      </c>
      <c r="J53" s="1" t="s">
        <v>178</v>
      </c>
      <c r="K53" s="1" t="s">
        <v>179</v>
      </c>
      <c r="L53" s="1" t="s">
        <v>180</v>
      </c>
      <c r="M53" s="1" t="s">
        <v>181</v>
      </c>
    </row>
    <row r="54" spans="1:13" ht="15.75" customHeight="1" x14ac:dyDescent="0.25">
      <c r="A54" s="99" t="s">
        <v>288</v>
      </c>
      <c r="B54" s="100" t="s">
        <v>289</v>
      </c>
      <c r="C54" s="73"/>
      <c r="D54" s="64">
        <f>IFERROR('📊 ANUAL MKTPLACES'!K5/4.33,0)</f>
        <v>0</v>
      </c>
      <c r="E54" s="65"/>
      <c r="F54" s="101" t="str">
        <f t="shared" ref="F54:F66" si="12">IFERROR(E54/D54,"-")</f>
        <v>-</v>
      </c>
      <c r="G54" s="65"/>
      <c r="H54" s="79" t="str">
        <f t="shared" ref="H54:H66" si="13">IFERROR(G54/E54,"-")</f>
        <v>-</v>
      </c>
      <c r="I54" s="80" t="str">
        <f t="shared" ref="I54:I66" si="14">IFERROR(E54/G54,"-")</f>
        <v>-</v>
      </c>
      <c r="J54" s="65"/>
      <c r="K54" s="98"/>
      <c r="L54" s="65"/>
      <c r="M54" s="79" t="str">
        <f t="shared" ref="M54:M66" si="15">IFERROR(J54/L54,"-")</f>
        <v>-</v>
      </c>
    </row>
    <row r="55" spans="1:13" ht="15.75" customHeight="1" x14ac:dyDescent="0.25">
      <c r="A55" s="96" t="s">
        <v>290</v>
      </c>
      <c r="B55" s="97" t="s">
        <v>291</v>
      </c>
      <c r="C55" s="73"/>
      <c r="D55" s="64">
        <f>IFERROR('📊 ANUAL MKTPLACES'!K5/4.33,0)</f>
        <v>0</v>
      </c>
      <c r="E55" s="65"/>
      <c r="F55" s="7" t="str">
        <f t="shared" si="12"/>
        <v>-</v>
      </c>
      <c r="G55" s="65"/>
      <c r="H55" s="9" t="str">
        <f t="shared" si="13"/>
        <v>-</v>
      </c>
      <c r="I55" s="66" t="str">
        <f t="shared" si="14"/>
        <v>-</v>
      </c>
      <c r="J55" s="65"/>
      <c r="K55" s="98"/>
      <c r="L55" s="65"/>
      <c r="M55" s="9" t="str">
        <f t="shared" si="15"/>
        <v>-</v>
      </c>
    </row>
    <row r="56" spans="1:13" ht="15.75" customHeight="1" x14ac:dyDescent="0.25">
      <c r="A56" s="99" t="s">
        <v>292</v>
      </c>
      <c r="B56" s="100" t="s">
        <v>293</v>
      </c>
      <c r="C56" s="73"/>
      <c r="D56" s="64">
        <f>IFERROR('📊 ANUAL MKTPLACES'!K5/4.33,0)</f>
        <v>0</v>
      </c>
      <c r="E56" s="65"/>
      <c r="F56" s="101" t="str">
        <f t="shared" si="12"/>
        <v>-</v>
      </c>
      <c r="G56" s="65"/>
      <c r="H56" s="79" t="str">
        <f t="shared" si="13"/>
        <v>-</v>
      </c>
      <c r="I56" s="80" t="str">
        <f t="shared" si="14"/>
        <v>-</v>
      </c>
      <c r="J56" s="65"/>
      <c r="K56" s="98"/>
      <c r="L56" s="65"/>
      <c r="M56" s="79" t="str">
        <f t="shared" si="15"/>
        <v>-</v>
      </c>
    </row>
    <row r="57" spans="1:13" ht="15.75" customHeight="1" x14ac:dyDescent="0.25">
      <c r="A57" s="96" t="s">
        <v>294</v>
      </c>
      <c r="B57" s="97" t="s">
        <v>295</v>
      </c>
      <c r="C57" s="73"/>
      <c r="D57" s="64">
        <f>IFERROR('📊 ANUAL MKTPLACES'!K5/4.33,0)</f>
        <v>0</v>
      </c>
      <c r="E57" s="65"/>
      <c r="F57" s="7" t="str">
        <f t="shared" si="12"/>
        <v>-</v>
      </c>
      <c r="G57" s="65"/>
      <c r="H57" s="9" t="str">
        <f t="shared" si="13"/>
        <v>-</v>
      </c>
      <c r="I57" s="66" t="str">
        <f t="shared" si="14"/>
        <v>-</v>
      </c>
      <c r="J57" s="65"/>
      <c r="K57" s="98"/>
      <c r="L57" s="65"/>
      <c r="M57" s="9" t="str">
        <f t="shared" si="15"/>
        <v>-</v>
      </c>
    </row>
    <row r="58" spans="1:13" ht="15.75" customHeight="1" x14ac:dyDescent="0.25">
      <c r="A58" s="99" t="s">
        <v>296</v>
      </c>
      <c r="B58" s="100" t="s">
        <v>297</v>
      </c>
      <c r="C58" s="73"/>
      <c r="D58" s="64">
        <f>IFERROR('📊 ANUAL MKTPLACES'!L5/4.33,0)</f>
        <v>0</v>
      </c>
      <c r="E58" s="65"/>
      <c r="F58" s="101" t="str">
        <f t="shared" si="12"/>
        <v>-</v>
      </c>
      <c r="G58" s="65"/>
      <c r="H58" s="79" t="str">
        <f t="shared" si="13"/>
        <v>-</v>
      </c>
      <c r="I58" s="80" t="str">
        <f t="shared" si="14"/>
        <v>-</v>
      </c>
      <c r="J58" s="65"/>
      <c r="K58" s="98"/>
      <c r="L58" s="65"/>
      <c r="M58" s="79" t="str">
        <f t="shared" si="15"/>
        <v>-</v>
      </c>
    </row>
    <row r="59" spans="1:13" ht="15.75" customHeight="1" x14ac:dyDescent="0.25">
      <c r="A59" s="96" t="s">
        <v>298</v>
      </c>
      <c r="B59" s="97" t="s">
        <v>299</v>
      </c>
      <c r="C59" s="73"/>
      <c r="D59" s="64">
        <f>IFERROR('📊 ANUAL MKTPLACES'!L5/4.33,0)</f>
        <v>0</v>
      </c>
      <c r="E59" s="65"/>
      <c r="F59" s="7" t="str">
        <f t="shared" si="12"/>
        <v>-</v>
      </c>
      <c r="G59" s="65"/>
      <c r="H59" s="9" t="str">
        <f t="shared" si="13"/>
        <v>-</v>
      </c>
      <c r="I59" s="66" t="str">
        <f t="shared" si="14"/>
        <v>-</v>
      </c>
      <c r="J59" s="65"/>
      <c r="K59" s="98"/>
      <c r="L59" s="65"/>
      <c r="M59" s="9" t="str">
        <f t="shared" si="15"/>
        <v>-</v>
      </c>
    </row>
    <row r="60" spans="1:13" ht="15.75" customHeight="1" x14ac:dyDescent="0.25">
      <c r="A60" s="99" t="s">
        <v>300</v>
      </c>
      <c r="B60" s="100" t="s">
        <v>301</v>
      </c>
      <c r="C60" s="73"/>
      <c r="D60" s="64">
        <f>IFERROR('📊 ANUAL MKTPLACES'!L5/4.33,0)</f>
        <v>0</v>
      </c>
      <c r="E60" s="65"/>
      <c r="F60" s="101" t="str">
        <f t="shared" si="12"/>
        <v>-</v>
      </c>
      <c r="G60" s="65"/>
      <c r="H60" s="79" t="str">
        <f t="shared" si="13"/>
        <v>-</v>
      </c>
      <c r="I60" s="80" t="str">
        <f t="shared" si="14"/>
        <v>-</v>
      </c>
      <c r="J60" s="65"/>
      <c r="K60" s="98"/>
      <c r="L60" s="65"/>
      <c r="M60" s="79" t="str">
        <f t="shared" si="15"/>
        <v>-</v>
      </c>
    </row>
    <row r="61" spans="1:13" ht="15.75" customHeight="1" x14ac:dyDescent="0.25">
      <c r="A61" s="96" t="s">
        <v>302</v>
      </c>
      <c r="B61" s="97" t="s">
        <v>303</v>
      </c>
      <c r="C61" s="73"/>
      <c r="D61" s="64">
        <f>IFERROR('📊 ANUAL MKTPLACES'!L5/4.33,0)</f>
        <v>0</v>
      </c>
      <c r="E61" s="65"/>
      <c r="F61" s="7" t="str">
        <f t="shared" si="12"/>
        <v>-</v>
      </c>
      <c r="G61" s="65"/>
      <c r="H61" s="9" t="str">
        <f t="shared" si="13"/>
        <v>-</v>
      </c>
      <c r="I61" s="66" t="str">
        <f t="shared" si="14"/>
        <v>-</v>
      </c>
      <c r="J61" s="65"/>
      <c r="K61" s="98"/>
      <c r="L61" s="65"/>
      <c r="M61" s="9" t="str">
        <f t="shared" si="15"/>
        <v>-</v>
      </c>
    </row>
    <row r="62" spans="1:13" ht="15.75" customHeight="1" x14ac:dyDescent="0.25">
      <c r="A62" s="99" t="s">
        <v>304</v>
      </c>
      <c r="B62" s="100" t="s">
        <v>305</v>
      </c>
      <c r="C62" s="73"/>
      <c r="D62" s="64">
        <f>IFERROR('📊 ANUAL MKTPLACES'!M5/4.33,0)</f>
        <v>0</v>
      </c>
      <c r="E62" s="65"/>
      <c r="F62" s="101" t="str">
        <f t="shared" si="12"/>
        <v>-</v>
      </c>
      <c r="G62" s="65"/>
      <c r="H62" s="79" t="str">
        <f t="shared" si="13"/>
        <v>-</v>
      </c>
      <c r="I62" s="80" t="str">
        <f t="shared" si="14"/>
        <v>-</v>
      </c>
      <c r="J62" s="65"/>
      <c r="K62" s="98"/>
      <c r="L62" s="65"/>
      <c r="M62" s="79" t="str">
        <f t="shared" si="15"/>
        <v>-</v>
      </c>
    </row>
    <row r="63" spans="1:13" ht="15.75" customHeight="1" x14ac:dyDescent="0.25">
      <c r="A63" s="96" t="s">
        <v>306</v>
      </c>
      <c r="B63" s="97" t="s">
        <v>307</v>
      </c>
      <c r="C63" s="73"/>
      <c r="D63" s="64">
        <f>IFERROR('📊 ANUAL MKTPLACES'!M5/4.33,0)</f>
        <v>0</v>
      </c>
      <c r="E63" s="65"/>
      <c r="F63" s="7" t="str">
        <f t="shared" si="12"/>
        <v>-</v>
      </c>
      <c r="G63" s="65"/>
      <c r="H63" s="9" t="str">
        <f t="shared" si="13"/>
        <v>-</v>
      </c>
      <c r="I63" s="66" t="str">
        <f t="shared" si="14"/>
        <v>-</v>
      </c>
      <c r="J63" s="65"/>
      <c r="K63" s="98"/>
      <c r="L63" s="65"/>
      <c r="M63" s="9" t="str">
        <f t="shared" si="15"/>
        <v>-</v>
      </c>
    </row>
    <row r="64" spans="1:13" ht="15.75" customHeight="1" x14ac:dyDescent="0.25">
      <c r="A64" s="99" t="s">
        <v>308</v>
      </c>
      <c r="B64" s="100" t="s">
        <v>309</v>
      </c>
      <c r="C64" s="73"/>
      <c r="D64" s="64">
        <f>IFERROR('📊 ANUAL MKTPLACES'!M5/4.33,0)</f>
        <v>0</v>
      </c>
      <c r="E64" s="65"/>
      <c r="F64" s="101" t="str">
        <f t="shared" si="12"/>
        <v>-</v>
      </c>
      <c r="G64" s="65"/>
      <c r="H64" s="79" t="str">
        <f t="shared" si="13"/>
        <v>-</v>
      </c>
      <c r="I64" s="80" t="str">
        <f t="shared" si="14"/>
        <v>-</v>
      </c>
      <c r="J64" s="65"/>
      <c r="K64" s="98"/>
      <c r="L64" s="65"/>
      <c r="M64" s="79" t="str">
        <f t="shared" si="15"/>
        <v>-</v>
      </c>
    </row>
    <row r="65" spans="1:13" ht="15.75" customHeight="1" x14ac:dyDescent="0.25">
      <c r="A65" s="96" t="s">
        <v>310</v>
      </c>
      <c r="B65" s="97" t="s">
        <v>311</v>
      </c>
      <c r="C65" s="73"/>
      <c r="D65" s="64">
        <f>IFERROR('📊 ANUAL MKTPLACES'!M5/4.33,0)</f>
        <v>0</v>
      </c>
      <c r="E65" s="65"/>
      <c r="F65" s="7" t="str">
        <f t="shared" si="12"/>
        <v>-</v>
      </c>
      <c r="G65" s="65"/>
      <c r="H65" s="9" t="str">
        <f t="shared" si="13"/>
        <v>-</v>
      </c>
      <c r="I65" s="66" t="str">
        <f t="shared" si="14"/>
        <v>-</v>
      </c>
      <c r="J65" s="65"/>
      <c r="K65" s="98"/>
      <c r="L65" s="65"/>
      <c r="M65" s="9" t="str">
        <f t="shared" si="15"/>
        <v>-</v>
      </c>
    </row>
    <row r="66" spans="1:13" ht="21.75" customHeight="1" x14ac:dyDescent="0.25">
      <c r="A66" s="126" t="s">
        <v>312</v>
      </c>
      <c r="B66" s="126"/>
      <c r="D66" s="86">
        <f>IFERROR(SUM(D54:D65),"-")</f>
        <v>0</v>
      </c>
      <c r="E66" s="86">
        <f>IFERROR(SUM(E54:E65),"-")</f>
        <v>0</v>
      </c>
      <c r="F66" s="102" t="str">
        <f t="shared" si="12"/>
        <v>-</v>
      </c>
      <c r="G66" s="86">
        <f>IFERROR(SUM(G54:G65),"-")</f>
        <v>0</v>
      </c>
      <c r="H66" s="88" t="str">
        <f t="shared" si="13"/>
        <v>-</v>
      </c>
      <c r="I66" s="89" t="str">
        <f t="shared" si="14"/>
        <v>-</v>
      </c>
      <c r="J66" s="86">
        <f>IFERROR(SUM(J54:J65),"-")</f>
        <v>0</v>
      </c>
      <c r="K66" s="87" t="str">
        <f>IFERROR(E66/J66,"-")</f>
        <v>-</v>
      </c>
      <c r="L66" s="86">
        <f>IFERROR(SUM(L54:L65),"-")</f>
        <v>0</v>
      </c>
      <c r="M66" s="88" t="str">
        <f t="shared" si="15"/>
        <v>-</v>
      </c>
    </row>
    <row r="68" spans="1:13" ht="9.75" customHeight="1" x14ac:dyDescent="0.25"/>
    <row r="69" spans="1:13" ht="24" customHeight="1" x14ac:dyDescent="0.25">
      <c r="A69" s="129" t="s">
        <v>313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1:13" ht="19.5" customHeight="1" x14ac:dyDescent="0.25">
      <c r="A70" s="123" t="s">
        <v>314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</row>
    <row r="71" spans="1:13" ht="18" customHeight="1" x14ac:dyDescent="0.25">
      <c r="A71" s="1" t="s">
        <v>205</v>
      </c>
      <c r="B71" s="1" t="s">
        <v>206</v>
      </c>
      <c r="C71" s="1" t="s">
        <v>207</v>
      </c>
      <c r="D71" s="1" t="s">
        <v>208</v>
      </c>
      <c r="E71" s="1" t="s">
        <v>209</v>
      </c>
      <c r="F71" s="1" t="s">
        <v>21</v>
      </c>
      <c r="G71" s="1" t="s">
        <v>182</v>
      </c>
      <c r="H71" s="1" t="s">
        <v>23</v>
      </c>
      <c r="I71" s="1" t="s">
        <v>164</v>
      </c>
      <c r="J71" s="1" t="s">
        <v>178</v>
      </c>
      <c r="K71" s="1" t="s">
        <v>179</v>
      </c>
      <c r="L71" s="1" t="s">
        <v>180</v>
      </c>
      <c r="M71" s="1" t="s">
        <v>181</v>
      </c>
    </row>
    <row r="72" spans="1:13" ht="15.75" customHeight="1" x14ac:dyDescent="0.25">
      <c r="A72" s="96" t="s">
        <v>210</v>
      </c>
      <c r="B72" s="97" t="s">
        <v>315</v>
      </c>
      <c r="C72" s="73"/>
      <c r="D72" s="64">
        <f>IFERROR('📊 ANUAL MKTPLACES'!B9/4.33,0)</f>
        <v>0</v>
      </c>
      <c r="E72" s="65"/>
      <c r="F72" s="7" t="str">
        <f t="shared" ref="F72:F84" si="16">IFERROR(E72/D72,"-")</f>
        <v>-</v>
      </c>
      <c r="G72" s="65"/>
      <c r="H72" s="9" t="str">
        <f t="shared" ref="H72:H84" si="17">IFERROR(G72/E72,"-")</f>
        <v>-</v>
      </c>
      <c r="I72" s="66" t="str">
        <f t="shared" ref="I72:I84" si="18">IFERROR(E72/G72,"-")</f>
        <v>-</v>
      </c>
      <c r="J72" s="65"/>
      <c r="K72" s="98"/>
      <c r="L72" s="65"/>
      <c r="M72" s="9" t="str">
        <f t="shared" ref="M72:M84" si="19">IFERROR(J72/L72,"-")</f>
        <v>-</v>
      </c>
    </row>
    <row r="73" spans="1:13" ht="15.75" customHeight="1" x14ac:dyDescent="0.25">
      <c r="A73" s="99" t="s">
        <v>212</v>
      </c>
      <c r="B73" s="100" t="s">
        <v>316</v>
      </c>
      <c r="C73" s="73"/>
      <c r="D73" s="64">
        <f>IFERROR('📊 ANUAL MKTPLACES'!B9/4.33,0)</f>
        <v>0</v>
      </c>
      <c r="E73" s="65"/>
      <c r="F73" s="101" t="str">
        <f t="shared" si="16"/>
        <v>-</v>
      </c>
      <c r="G73" s="65"/>
      <c r="H73" s="79" t="str">
        <f t="shared" si="17"/>
        <v>-</v>
      </c>
      <c r="I73" s="80" t="str">
        <f t="shared" si="18"/>
        <v>-</v>
      </c>
      <c r="J73" s="65"/>
      <c r="K73" s="98"/>
      <c r="L73" s="65"/>
      <c r="M73" s="79" t="str">
        <f t="shared" si="19"/>
        <v>-</v>
      </c>
    </row>
    <row r="74" spans="1:13" ht="15.75" customHeight="1" x14ac:dyDescent="0.25">
      <c r="A74" s="96" t="s">
        <v>214</v>
      </c>
      <c r="B74" s="97" t="s">
        <v>317</v>
      </c>
      <c r="C74" s="73"/>
      <c r="D74" s="64">
        <f>IFERROR('📊 ANUAL MKTPLACES'!B9/4.33,0)</f>
        <v>0</v>
      </c>
      <c r="E74" s="65"/>
      <c r="F74" s="7" t="str">
        <f t="shared" si="16"/>
        <v>-</v>
      </c>
      <c r="G74" s="65"/>
      <c r="H74" s="9" t="str">
        <f t="shared" si="17"/>
        <v>-</v>
      </c>
      <c r="I74" s="66" t="str">
        <f t="shared" si="18"/>
        <v>-</v>
      </c>
      <c r="J74" s="65"/>
      <c r="K74" s="98"/>
      <c r="L74" s="65"/>
      <c r="M74" s="9" t="str">
        <f t="shared" si="19"/>
        <v>-</v>
      </c>
    </row>
    <row r="75" spans="1:13" ht="15.75" customHeight="1" x14ac:dyDescent="0.25">
      <c r="A75" s="99" t="s">
        <v>216</v>
      </c>
      <c r="B75" s="100" t="s">
        <v>318</v>
      </c>
      <c r="C75" s="73"/>
      <c r="D75" s="64">
        <f>IFERROR('📊 ANUAL MKTPLACES'!B9/4.33,0)</f>
        <v>0</v>
      </c>
      <c r="E75" s="65"/>
      <c r="F75" s="101" t="str">
        <f t="shared" si="16"/>
        <v>-</v>
      </c>
      <c r="G75" s="65"/>
      <c r="H75" s="79" t="str">
        <f t="shared" si="17"/>
        <v>-</v>
      </c>
      <c r="I75" s="80" t="str">
        <f t="shared" si="18"/>
        <v>-</v>
      </c>
      <c r="J75" s="65"/>
      <c r="K75" s="98"/>
      <c r="L75" s="65"/>
      <c r="M75" s="79" t="str">
        <f t="shared" si="19"/>
        <v>-</v>
      </c>
    </row>
    <row r="76" spans="1:13" ht="15.75" customHeight="1" x14ac:dyDescent="0.25">
      <c r="A76" s="96" t="s">
        <v>218</v>
      </c>
      <c r="B76" s="97" t="s">
        <v>319</v>
      </c>
      <c r="C76" s="73"/>
      <c r="D76" s="64">
        <f>IFERROR('📊 ANUAL MKTPLACES'!C9/4.33,0)</f>
        <v>0</v>
      </c>
      <c r="E76" s="65"/>
      <c r="F76" s="7" t="str">
        <f t="shared" si="16"/>
        <v>-</v>
      </c>
      <c r="G76" s="65"/>
      <c r="H76" s="9" t="str">
        <f t="shared" si="17"/>
        <v>-</v>
      </c>
      <c r="I76" s="66" t="str">
        <f t="shared" si="18"/>
        <v>-</v>
      </c>
      <c r="J76" s="65"/>
      <c r="K76" s="98"/>
      <c r="L76" s="65"/>
      <c r="M76" s="9" t="str">
        <f t="shared" si="19"/>
        <v>-</v>
      </c>
    </row>
    <row r="77" spans="1:13" ht="15.75" customHeight="1" x14ac:dyDescent="0.25">
      <c r="A77" s="99" t="s">
        <v>220</v>
      </c>
      <c r="B77" s="100" t="s">
        <v>320</v>
      </c>
      <c r="C77" s="73"/>
      <c r="D77" s="64">
        <f>IFERROR('📊 ANUAL MKTPLACES'!C9/4.33,0)</f>
        <v>0</v>
      </c>
      <c r="E77" s="65"/>
      <c r="F77" s="101" t="str">
        <f t="shared" si="16"/>
        <v>-</v>
      </c>
      <c r="G77" s="65"/>
      <c r="H77" s="79" t="str">
        <f t="shared" si="17"/>
        <v>-</v>
      </c>
      <c r="I77" s="80" t="str">
        <f t="shared" si="18"/>
        <v>-</v>
      </c>
      <c r="J77" s="65"/>
      <c r="K77" s="98"/>
      <c r="L77" s="65"/>
      <c r="M77" s="79" t="str">
        <f t="shared" si="19"/>
        <v>-</v>
      </c>
    </row>
    <row r="78" spans="1:13" ht="15.75" customHeight="1" x14ac:dyDescent="0.25">
      <c r="A78" s="96" t="s">
        <v>222</v>
      </c>
      <c r="B78" s="97" t="s">
        <v>321</v>
      </c>
      <c r="C78" s="73"/>
      <c r="D78" s="64">
        <f>IFERROR('📊 ANUAL MKTPLACES'!C9/4.33,0)</f>
        <v>0</v>
      </c>
      <c r="E78" s="65"/>
      <c r="F78" s="7" t="str">
        <f t="shared" si="16"/>
        <v>-</v>
      </c>
      <c r="G78" s="65"/>
      <c r="H78" s="9" t="str">
        <f t="shared" si="17"/>
        <v>-</v>
      </c>
      <c r="I78" s="66" t="str">
        <f t="shared" si="18"/>
        <v>-</v>
      </c>
      <c r="J78" s="65"/>
      <c r="K78" s="98"/>
      <c r="L78" s="65"/>
      <c r="M78" s="9" t="str">
        <f t="shared" si="19"/>
        <v>-</v>
      </c>
    </row>
    <row r="79" spans="1:13" ht="15.75" customHeight="1" x14ac:dyDescent="0.25">
      <c r="A79" s="99" t="s">
        <v>224</v>
      </c>
      <c r="B79" s="100" t="s">
        <v>322</v>
      </c>
      <c r="C79" s="73"/>
      <c r="D79" s="64">
        <f>IFERROR('📊 ANUAL MKTPLACES'!C9/4.33,0)</f>
        <v>0</v>
      </c>
      <c r="E79" s="65"/>
      <c r="F79" s="101" t="str">
        <f t="shared" si="16"/>
        <v>-</v>
      </c>
      <c r="G79" s="65"/>
      <c r="H79" s="79" t="str">
        <f t="shared" si="17"/>
        <v>-</v>
      </c>
      <c r="I79" s="80" t="str">
        <f t="shared" si="18"/>
        <v>-</v>
      </c>
      <c r="J79" s="65"/>
      <c r="K79" s="98"/>
      <c r="L79" s="65"/>
      <c r="M79" s="79" t="str">
        <f t="shared" si="19"/>
        <v>-</v>
      </c>
    </row>
    <row r="80" spans="1:13" ht="15.75" customHeight="1" x14ac:dyDescent="0.25">
      <c r="A80" s="96" t="s">
        <v>226</v>
      </c>
      <c r="B80" s="97" t="s">
        <v>323</v>
      </c>
      <c r="C80" s="73"/>
      <c r="D80" s="64">
        <f>IFERROR('📊 ANUAL MKTPLACES'!D9/4.33,0)</f>
        <v>0</v>
      </c>
      <c r="E80" s="65"/>
      <c r="F80" s="7" t="str">
        <f t="shared" si="16"/>
        <v>-</v>
      </c>
      <c r="G80" s="65"/>
      <c r="H80" s="9" t="str">
        <f t="shared" si="17"/>
        <v>-</v>
      </c>
      <c r="I80" s="66" t="str">
        <f t="shared" si="18"/>
        <v>-</v>
      </c>
      <c r="J80" s="65"/>
      <c r="K80" s="98"/>
      <c r="L80" s="65"/>
      <c r="M80" s="9" t="str">
        <f t="shared" si="19"/>
        <v>-</v>
      </c>
    </row>
    <row r="81" spans="1:13" ht="15.75" customHeight="1" x14ac:dyDescent="0.25">
      <c r="A81" s="99" t="s">
        <v>228</v>
      </c>
      <c r="B81" s="100" t="s">
        <v>324</v>
      </c>
      <c r="C81" s="73"/>
      <c r="D81" s="64">
        <f>IFERROR('📊 ANUAL MKTPLACES'!D9/4.33,0)</f>
        <v>0</v>
      </c>
      <c r="E81" s="65"/>
      <c r="F81" s="101" t="str">
        <f t="shared" si="16"/>
        <v>-</v>
      </c>
      <c r="G81" s="65"/>
      <c r="H81" s="79" t="str">
        <f t="shared" si="17"/>
        <v>-</v>
      </c>
      <c r="I81" s="80" t="str">
        <f t="shared" si="18"/>
        <v>-</v>
      </c>
      <c r="J81" s="65"/>
      <c r="K81" s="98"/>
      <c r="L81" s="65"/>
      <c r="M81" s="79" t="str">
        <f t="shared" si="19"/>
        <v>-</v>
      </c>
    </row>
    <row r="82" spans="1:13" ht="15.75" customHeight="1" x14ac:dyDescent="0.25">
      <c r="A82" s="96" t="s">
        <v>230</v>
      </c>
      <c r="B82" s="97" t="s">
        <v>325</v>
      </c>
      <c r="C82" s="73"/>
      <c r="D82" s="64">
        <f>IFERROR('📊 ANUAL MKTPLACES'!D9/4.33,0)</f>
        <v>0</v>
      </c>
      <c r="E82" s="65"/>
      <c r="F82" s="7" t="str">
        <f t="shared" si="16"/>
        <v>-</v>
      </c>
      <c r="G82" s="65"/>
      <c r="H82" s="9" t="str">
        <f t="shared" si="17"/>
        <v>-</v>
      </c>
      <c r="I82" s="66" t="str">
        <f t="shared" si="18"/>
        <v>-</v>
      </c>
      <c r="J82" s="65"/>
      <c r="K82" s="98"/>
      <c r="L82" s="65"/>
      <c r="M82" s="9" t="str">
        <f t="shared" si="19"/>
        <v>-</v>
      </c>
    </row>
    <row r="83" spans="1:13" ht="15.75" customHeight="1" x14ac:dyDescent="0.25">
      <c r="A83" s="99" t="s">
        <v>232</v>
      </c>
      <c r="B83" s="100" t="s">
        <v>326</v>
      </c>
      <c r="C83" s="73"/>
      <c r="D83" s="64">
        <f>IFERROR('📊 ANUAL MKTPLACES'!D9/4.33,0)</f>
        <v>0</v>
      </c>
      <c r="E83" s="65"/>
      <c r="F83" s="101" t="str">
        <f t="shared" si="16"/>
        <v>-</v>
      </c>
      <c r="G83" s="65"/>
      <c r="H83" s="79" t="str">
        <f t="shared" si="17"/>
        <v>-</v>
      </c>
      <c r="I83" s="80" t="str">
        <f t="shared" si="18"/>
        <v>-</v>
      </c>
      <c r="J83" s="65"/>
      <c r="K83" s="98"/>
      <c r="L83" s="65"/>
      <c r="M83" s="79" t="str">
        <f t="shared" si="19"/>
        <v>-</v>
      </c>
    </row>
    <row r="84" spans="1:13" ht="21.75" customHeight="1" x14ac:dyDescent="0.25">
      <c r="A84" s="126" t="s">
        <v>234</v>
      </c>
      <c r="B84" s="126"/>
      <c r="D84" s="86">
        <f>IFERROR(SUM(D72:D83),"-")</f>
        <v>0</v>
      </c>
      <c r="E84" s="86">
        <f>IFERROR(SUM(E72:E83),"-")</f>
        <v>0</v>
      </c>
      <c r="F84" s="102" t="str">
        <f t="shared" si="16"/>
        <v>-</v>
      </c>
      <c r="G84" s="86">
        <f>IFERROR(SUM(G72:G83),"-")</f>
        <v>0</v>
      </c>
      <c r="H84" s="88" t="str">
        <f t="shared" si="17"/>
        <v>-</v>
      </c>
      <c r="I84" s="89" t="str">
        <f t="shared" si="18"/>
        <v>-</v>
      </c>
      <c r="J84" s="86">
        <f>IFERROR(SUM(J72:J83),"-")</f>
        <v>0</v>
      </c>
      <c r="K84" s="87" t="str">
        <f>IFERROR(E84/J84,"-")</f>
        <v>-</v>
      </c>
      <c r="L84" s="86">
        <f>IFERROR(SUM(L72:L83),"-")</f>
        <v>0</v>
      </c>
      <c r="M84" s="88" t="str">
        <f t="shared" si="19"/>
        <v>-</v>
      </c>
    </row>
    <row r="86" spans="1:13" ht="19.5" customHeight="1" x14ac:dyDescent="0.25">
      <c r="A86" s="123" t="s">
        <v>327</v>
      </c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</row>
    <row r="87" spans="1:13" ht="18" customHeight="1" x14ac:dyDescent="0.25">
      <c r="A87" s="1" t="s">
        <v>205</v>
      </c>
      <c r="B87" s="1" t="s">
        <v>206</v>
      </c>
      <c r="C87" s="1" t="s">
        <v>207</v>
      </c>
      <c r="D87" s="1" t="s">
        <v>208</v>
      </c>
      <c r="E87" s="1" t="s">
        <v>209</v>
      </c>
      <c r="F87" s="1" t="s">
        <v>21</v>
      </c>
      <c r="G87" s="1" t="s">
        <v>182</v>
      </c>
      <c r="H87" s="1" t="s">
        <v>23</v>
      </c>
      <c r="I87" s="1" t="s">
        <v>164</v>
      </c>
      <c r="J87" s="1" t="s">
        <v>178</v>
      </c>
      <c r="K87" s="1" t="s">
        <v>179</v>
      </c>
      <c r="L87" s="1" t="s">
        <v>180</v>
      </c>
      <c r="M87" s="1" t="s">
        <v>181</v>
      </c>
    </row>
    <row r="88" spans="1:13" ht="15.75" customHeight="1" x14ac:dyDescent="0.25">
      <c r="A88" s="99" t="s">
        <v>236</v>
      </c>
      <c r="B88" s="100" t="s">
        <v>328</v>
      </c>
      <c r="C88" s="73"/>
      <c r="D88" s="64">
        <f>IFERROR('📊 ANUAL MKTPLACES'!E9/4.33,0)</f>
        <v>0</v>
      </c>
      <c r="E88" s="65"/>
      <c r="F88" s="101" t="str">
        <f t="shared" ref="F88:F100" si="20">IFERROR(E88/D88,"-")</f>
        <v>-</v>
      </c>
      <c r="G88" s="65"/>
      <c r="H88" s="79" t="str">
        <f t="shared" ref="H88:H100" si="21">IFERROR(G88/E88,"-")</f>
        <v>-</v>
      </c>
      <c r="I88" s="80" t="str">
        <f t="shared" ref="I88:I100" si="22">IFERROR(E88/G88,"-")</f>
        <v>-</v>
      </c>
      <c r="J88" s="65"/>
      <c r="K88" s="98"/>
      <c r="L88" s="65"/>
      <c r="M88" s="79" t="str">
        <f t="shared" ref="M88:M100" si="23">IFERROR(J88/L88,"-")</f>
        <v>-</v>
      </c>
    </row>
    <row r="89" spans="1:13" ht="15.75" customHeight="1" x14ac:dyDescent="0.25">
      <c r="A89" s="96" t="s">
        <v>238</v>
      </c>
      <c r="B89" s="97" t="s">
        <v>329</v>
      </c>
      <c r="C89" s="73"/>
      <c r="D89" s="64">
        <f>IFERROR('📊 ANUAL MKTPLACES'!E9/4.33,0)</f>
        <v>0</v>
      </c>
      <c r="E89" s="65"/>
      <c r="F89" s="7" t="str">
        <f t="shared" si="20"/>
        <v>-</v>
      </c>
      <c r="G89" s="65"/>
      <c r="H89" s="9" t="str">
        <f t="shared" si="21"/>
        <v>-</v>
      </c>
      <c r="I89" s="66" t="str">
        <f t="shared" si="22"/>
        <v>-</v>
      </c>
      <c r="J89" s="65"/>
      <c r="K89" s="98"/>
      <c r="L89" s="65"/>
      <c r="M89" s="9" t="str">
        <f t="shared" si="23"/>
        <v>-</v>
      </c>
    </row>
    <row r="90" spans="1:13" ht="15.75" customHeight="1" x14ac:dyDescent="0.25">
      <c r="A90" s="99" t="s">
        <v>240</v>
      </c>
      <c r="B90" s="100" t="s">
        <v>330</v>
      </c>
      <c r="C90" s="73"/>
      <c r="D90" s="64">
        <f>IFERROR('📊 ANUAL MKTPLACES'!E9/4.33,0)</f>
        <v>0</v>
      </c>
      <c r="E90" s="65"/>
      <c r="F90" s="101" t="str">
        <f t="shared" si="20"/>
        <v>-</v>
      </c>
      <c r="G90" s="65"/>
      <c r="H90" s="79" t="str">
        <f t="shared" si="21"/>
        <v>-</v>
      </c>
      <c r="I90" s="80" t="str">
        <f t="shared" si="22"/>
        <v>-</v>
      </c>
      <c r="J90" s="65"/>
      <c r="K90" s="98"/>
      <c r="L90" s="65"/>
      <c r="M90" s="79" t="str">
        <f t="shared" si="23"/>
        <v>-</v>
      </c>
    </row>
    <row r="91" spans="1:13" ht="15.75" customHeight="1" x14ac:dyDescent="0.25">
      <c r="A91" s="96" t="s">
        <v>242</v>
      </c>
      <c r="B91" s="97" t="s">
        <v>331</v>
      </c>
      <c r="C91" s="73"/>
      <c r="D91" s="64">
        <f>IFERROR('📊 ANUAL MKTPLACES'!E9/4.33,0)</f>
        <v>0</v>
      </c>
      <c r="E91" s="65"/>
      <c r="F91" s="7" t="str">
        <f t="shared" si="20"/>
        <v>-</v>
      </c>
      <c r="G91" s="65"/>
      <c r="H91" s="9" t="str">
        <f t="shared" si="21"/>
        <v>-</v>
      </c>
      <c r="I91" s="66" t="str">
        <f t="shared" si="22"/>
        <v>-</v>
      </c>
      <c r="J91" s="65"/>
      <c r="K91" s="98"/>
      <c r="L91" s="65"/>
      <c r="M91" s="9" t="str">
        <f t="shared" si="23"/>
        <v>-</v>
      </c>
    </row>
    <row r="92" spans="1:13" ht="15.75" customHeight="1" x14ac:dyDescent="0.25">
      <c r="A92" s="99" t="s">
        <v>244</v>
      </c>
      <c r="B92" s="100" t="s">
        <v>332</v>
      </c>
      <c r="C92" s="73"/>
      <c r="D92" s="64">
        <f>IFERROR('📊 ANUAL MKTPLACES'!F9/4.33,0)</f>
        <v>0</v>
      </c>
      <c r="E92" s="65"/>
      <c r="F92" s="101" t="str">
        <f t="shared" si="20"/>
        <v>-</v>
      </c>
      <c r="G92" s="65"/>
      <c r="H92" s="79" t="str">
        <f t="shared" si="21"/>
        <v>-</v>
      </c>
      <c r="I92" s="80" t="str">
        <f t="shared" si="22"/>
        <v>-</v>
      </c>
      <c r="J92" s="65"/>
      <c r="K92" s="98"/>
      <c r="L92" s="65"/>
      <c r="M92" s="79" t="str">
        <f t="shared" si="23"/>
        <v>-</v>
      </c>
    </row>
    <row r="93" spans="1:13" ht="15.75" customHeight="1" x14ac:dyDescent="0.25">
      <c r="A93" s="96" t="s">
        <v>246</v>
      </c>
      <c r="B93" s="97" t="s">
        <v>333</v>
      </c>
      <c r="C93" s="73"/>
      <c r="D93" s="64">
        <f>IFERROR('📊 ANUAL MKTPLACES'!F9/4.33,0)</f>
        <v>0</v>
      </c>
      <c r="E93" s="65"/>
      <c r="F93" s="7" t="str">
        <f t="shared" si="20"/>
        <v>-</v>
      </c>
      <c r="G93" s="65"/>
      <c r="H93" s="9" t="str">
        <f t="shared" si="21"/>
        <v>-</v>
      </c>
      <c r="I93" s="66" t="str">
        <f t="shared" si="22"/>
        <v>-</v>
      </c>
      <c r="J93" s="65"/>
      <c r="K93" s="98"/>
      <c r="L93" s="65"/>
      <c r="M93" s="9" t="str">
        <f t="shared" si="23"/>
        <v>-</v>
      </c>
    </row>
    <row r="94" spans="1:13" ht="15.75" customHeight="1" x14ac:dyDescent="0.25">
      <c r="A94" s="99" t="s">
        <v>248</v>
      </c>
      <c r="B94" s="100" t="s">
        <v>334</v>
      </c>
      <c r="C94" s="73"/>
      <c r="D94" s="64">
        <f>IFERROR('📊 ANUAL MKTPLACES'!F9/4.33,0)</f>
        <v>0</v>
      </c>
      <c r="E94" s="65"/>
      <c r="F94" s="101" t="str">
        <f t="shared" si="20"/>
        <v>-</v>
      </c>
      <c r="G94" s="65"/>
      <c r="H94" s="79" t="str">
        <f t="shared" si="21"/>
        <v>-</v>
      </c>
      <c r="I94" s="80" t="str">
        <f t="shared" si="22"/>
        <v>-</v>
      </c>
      <c r="J94" s="65"/>
      <c r="K94" s="98"/>
      <c r="L94" s="65"/>
      <c r="M94" s="79" t="str">
        <f t="shared" si="23"/>
        <v>-</v>
      </c>
    </row>
    <row r="95" spans="1:13" ht="15.75" customHeight="1" x14ac:dyDescent="0.25">
      <c r="A95" s="96" t="s">
        <v>250</v>
      </c>
      <c r="B95" s="97" t="s">
        <v>335</v>
      </c>
      <c r="C95" s="73"/>
      <c r="D95" s="64">
        <f>IFERROR('📊 ANUAL MKTPLACES'!F9/4.33,0)</f>
        <v>0</v>
      </c>
      <c r="E95" s="65"/>
      <c r="F95" s="7" t="str">
        <f t="shared" si="20"/>
        <v>-</v>
      </c>
      <c r="G95" s="65"/>
      <c r="H95" s="9" t="str">
        <f t="shared" si="21"/>
        <v>-</v>
      </c>
      <c r="I95" s="66" t="str">
        <f t="shared" si="22"/>
        <v>-</v>
      </c>
      <c r="J95" s="65"/>
      <c r="K95" s="98"/>
      <c r="L95" s="65"/>
      <c r="M95" s="9" t="str">
        <f t="shared" si="23"/>
        <v>-</v>
      </c>
    </row>
    <row r="96" spans="1:13" ht="15.75" customHeight="1" x14ac:dyDescent="0.25">
      <c r="A96" s="99" t="s">
        <v>252</v>
      </c>
      <c r="B96" s="100" t="s">
        <v>336</v>
      </c>
      <c r="C96" s="73"/>
      <c r="D96" s="64">
        <f>IFERROR('📊 ANUAL MKTPLACES'!G9/4.33,0)</f>
        <v>0</v>
      </c>
      <c r="E96" s="65"/>
      <c r="F96" s="101" t="str">
        <f t="shared" si="20"/>
        <v>-</v>
      </c>
      <c r="G96" s="65"/>
      <c r="H96" s="79" t="str">
        <f t="shared" si="21"/>
        <v>-</v>
      </c>
      <c r="I96" s="80" t="str">
        <f t="shared" si="22"/>
        <v>-</v>
      </c>
      <c r="J96" s="65"/>
      <c r="K96" s="98"/>
      <c r="L96" s="65"/>
      <c r="M96" s="79" t="str">
        <f t="shared" si="23"/>
        <v>-</v>
      </c>
    </row>
    <row r="97" spans="1:13" ht="15.75" customHeight="1" x14ac:dyDescent="0.25">
      <c r="A97" s="96" t="s">
        <v>254</v>
      </c>
      <c r="B97" s="97" t="s">
        <v>337</v>
      </c>
      <c r="C97" s="73"/>
      <c r="D97" s="64">
        <f>IFERROR('📊 ANUAL MKTPLACES'!G9/4.33,0)</f>
        <v>0</v>
      </c>
      <c r="E97" s="65"/>
      <c r="F97" s="7" t="str">
        <f t="shared" si="20"/>
        <v>-</v>
      </c>
      <c r="G97" s="65"/>
      <c r="H97" s="9" t="str">
        <f t="shared" si="21"/>
        <v>-</v>
      </c>
      <c r="I97" s="66" t="str">
        <f t="shared" si="22"/>
        <v>-</v>
      </c>
      <c r="J97" s="65"/>
      <c r="K97" s="98"/>
      <c r="L97" s="65"/>
      <c r="M97" s="9" t="str">
        <f t="shared" si="23"/>
        <v>-</v>
      </c>
    </row>
    <row r="98" spans="1:13" ht="15.75" customHeight="1" x14ac:dyDescent="0.25">
      <c r="A98" s="99" t="s">
        <v>256</v>
      </c>
      <c r="B98" s="100" t="s">
        <v>338</v>
      </c>
      <c r="C98" s="73"/>
      <c r="D98" s="64">
        <f>IFERROR('📊 ANUAL MKTPLACES'!G9/4.33,0)</f>
        <v>0</v>
      </c>
      <c r="E98" s="65"/>
      <c r="F98" s="101" t="str">
        <f t="shared" si="20"/>
        <v>-</v>
      </c>
      <c r="G98" s="65"/>
      <c r="H98" s="79" t="str">
        <f t="shared" si="21"/>
        <v>-</v>
      </c>
      <c r="I98" s="80" t="str">
        <f t="shared" si="22"/>
        <v>-</v>
      </c>
      <c r="J98" s="65"/>
      <c r="K98" s="98"/>
      <c r="L98" s="65"/>
      <c r="M98" s="79" t="str">
        <f t="shared" si="23"/>
        <v>-</v>
      </c>
    </row>
    <row r="99" spans="1:13" ht="15.75" customHeight="1" x14ac:dyDescent="0.25">
      <c r="A99" s="96" t="s">
        <v>258</v>
      </c>
      <c r="B99" s="97" t="s">
        <v>339</v>
      </c>
      <c r="C99" s="73"/>
      <c r="D99" s="64">
        <f>IFERROR('📊 ANUAL MKTPLACES'!G9/4.33,0)</f>
        <v>0</v>
      </c>
      <c r="E99" s="65"/>
      <c r="F99" s="7" t="str">
        <f t="shared" si="20"/>
        <v>-</v>
      </c>
      <c r="G99" s="65"/>
      <c r="H99" s="9" t="str">
        <f t="shared" si="21"/>
        <v>-</v>
      </c>
      <c r="I99" s="66" t="str">
        <f t="shared" si="22"/>
        <v>-</v>
      </c>
      <c r="J99" s="65"/>
      <c r="K99" s="98"/>
      <c r="L99" s="65"/>
      <c r="M99" s="9" t="str">
        <f t="shared" si="23"/>
        <v>-</v>
      </c>
    </row>
    <row r="100" spans="1:13" ht="21.75" customHeight="1" x14ac:dyDescent="0.25">
      <c r="A100" s="126" t="s">
        <v>260</v>
      </c>
      <c r="B100" s="126"/>
      <c r="D100" s="86">
        <f>IFERROR(SUM(D88:D99),"-")</f>
        <v>0</v>
      </c>
      <c r="E100" s="86">
        <f>IFERROR(SUM(E88:E99),"-")</f>
        <v>0</v>
      </c>
      <c r="F100" s="102" t="str">
        <f t="shared" si="20"/>
        <v>-</v>
      </c>
      <c r="G100" s="86">
        <f>IFERROR(SUM(G88:G99),"-")</f>
        <v>0</v>
      </c>
      <c r="H100" s="88" t="str">
        <f t="shared" si="21"/>
        <v>-</v>
      </c>
      <c r="I100" s="89" t="str">
        <f t="shared" si="22"/>
        <v>-</v>
      </c>
      <c r="J100" s="86">
        <f>IFERROR(SUM(J88:J99),"-")</f>
        <v>0</v>
      </c>
      <c r="K100" s="87" t="str">
        <f>IFERROR(E100/J100,"-")</f>
        <v>-</v>
      </c>
      <c r="L100" s="86">
        <f>IFERROR(SUM(L88:L99),"-")</f>
        <v>0</v>
      </c>
      <c r="M100" s="88" t="str">
        <f t="shared" si="23"/>
        <v>-</v>
      </c>
    </row>
    <row r="102" spans="1:13" ht="19.5" customHeight="1" x14ac:dyDescent="0.25">
      <c r="A102" s="123" t="s">
        <v>340</v>
      </c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</row>
    <row r="103" spans="1:13" ht="18" customHeight="1" x14ac:dyDescent="0.25">
      <c r="A103" s="1" t="s">
        <v>205</v>
      </c>
      <c r="B103" s="1" t="s">
        <v>206</v>
      </c>
      <c r="C103" s="1" t="s">
        <v>207</v>
      </c>
      <c r="D103" s="1" t="s">
        <v>208</v>
      </c>
      <c r="E103" s="1" t="s">
        <v>209</v>
      </c>
      <c r="F103" s="1" t="s">
        <v>21</v>
      </c>
      <c r="G103" s="1" t="s">
        <v>182</v>
      </c>
      <c r="H103" s="1" t="s">
        <v>23</v>
      </c>
      <c r="I103" s="1" t="s">
        <v>164</v>
      </c>
      <c r="J103" s="1" t="s">
        <v>178</v>
      </c>
      <c r="K103" s="1" t="s">
        <v>179</v>
      </c>
      <c r="L103" s="1" t="s">
        <v>180</v>
      </c>
      <c r="M103" s="1" t="s">
        <v>181</v>
      </c>
    </row>
    <row r="104" spans="1:13" ht="15.75" customHeight="1" x14ac:dyDescent="0.25">
      <c r="A104" s="96" t="s">
        <v>262</v>
      </c>
      <c r="B104" s="97" t="s">
        <v>341</v>
      </c>
      <c r="C104" s="73"/>
      <c r="D104" s="64">
        <f>IFERROR('📊 ANUAL MKTPLACES'!H9/4.33,0)</f>
        <v>0</v>
      </c>
      <c r="E104" s="65"/>
      <c r="F104" s="7" t="str">
        <f t="shared" ref="F104:F116" si="24">IFERROR(E104/D104,"-")</f>
        <v>-</v>
      </c>
      <c r="G104" s="65"/>
      <c r="H104" s="9" t="str">
        <f t="shared" ref="H104:H116" si="25">IFERROR(G104/E104,"-")</f>
        <v>-</v>
      </c>
      <c r="I104" s="66" t="str">
        <f t="shared" ref="I104:I116" si="26">IFERROR(E104/G104,"-")</f>
        <v>-</v>
      </c>
      <c r="J104" s="65"/>
      <c r="K104" s="98"/>
      <c r="L104" s="65"/>
      <c r="M104" s="9" t="str">
        <f t="shared" ref="M104:M116" si="27">IFERROR(J104/L104,"-")</f>
        <v>-</v>
      </c>
    </row>
    <row r="105" spans="1:13" ht="15.75" customHeight="1" x14ac:dyDescent="0.25">
      <c r="A105" s="99" t="s">
        <v>264</v>
      </c>
      <c r="B105" s="100" t="s">
        <v>342</v>
      </c>
      <c r="C105" s="73"/>
      <c r="D105" s="64">
        <f>IFERROR('📊 ANUAL MKTPLACES'!H9/4.33,0)</f>
        <v>0</v>
      </c>
      <c r="E105" s="65"/>
      <c r="F105" s="101" t="str">
        <f t="shared" si="24"/>
        <v>-</v>
      </c>
      <c r="G105" s="65"/>
      <c r="H105" s="79" t="str">
        <f t="shared" si="25"/>
        <v>-</v>
      </c>
      <c r="I105" s="80" t="str">
        <f t="shared" si="26"/>
        <v>-</v>
      </c>
      <c r="J105" s="65"/>
      <c r="K105" s="98"/>
      <c r="L105" s="65"/>
      <c r="M105" s="79" t="str">
        <f t="shared" si="27"/>
        <v>-</v>
      </c>
    </row>
    <row r="106" spans="1:13" ht="15.75" customHeight="1" x14ac:dyDescent="0.25">
      <c r="A106" s="96" t="s">
        <v>266</v>
      </c>
      <c r="B106" s="97" t="s">
        <v>343</v>
      </c>
      <c r="C106" s="73"/>
      <c r="D106" s="64">
        <f>IFERROR('📊 ANUAL MKTPLACES'!H9/4.33,0)</f>
        <v>0</v>
      </c>
      <c r="E106" s="65"/>
      <c r="F106" s="7" t="str">
        <f t="shared" si="24"/>
        <v>-</v>
      </c>
      <c r="G106" s="65"/>
      <c r="H106" s="9" t="str">
        <f t="shared" si="25"/>
        <v>-</v>
      </c>
      <c r="I106" s="66" t="str">
        <f t="shared" si="26"/>
        <v>-</v>
      </c>
      <c r="J106" s="65"/>
      <c r="K106" s="98"/>
      <c r="L106" s="65"/>
      <c r="M106" s="9" t="str">
        <f t="shared" si="27"/>
        <v>-</v>
      </c>
    </row>
    <row r="107" spans="1:13" ht="15.75" customHeight="1" x14ac:dyDescent="0.25">
      <c r="A107" s="99" t="s">
        <v>268</v>
      </c>
      <c r="B107" s="100" t="s">
        <v>344</v>
      </c>
      <c r="C107" s="73"/>
      <c r="D107" s="64">
        <f>IFERROR('📊 ANUAL MKTPLACES'!H9/4.33,0)</f>
        <v>0</v>
      </c>
      <c r="E107" s="65"/>
      <c r="F107" s="101" t="str">
        <f t="shared" si="24"/>
        <v>-</v>
      </c>
      <c r="G107" s="65"/>
      <c r="H107" s="79" t="str">
        <f t="shared" si="25"/>
        <v>-</v>
      </c>
      <c r="I107" s="80" t="str">
        <f t="shared" si="26"/>
        <v>-</v>
      </c>
      <c r="J107" s="65"/>
      <c r="K107" s="98"/>
      <c r="L107" s="65"/>
      <c r="M107" s="79" t="str">
        <f t="shared" si="27"/>
        <v>-</v>
      </c>
    </row>
    <row r="108" spans="1:13" ht="15.75" customHeight="1" x14ac:dyDescent="0.25">
      <c r="A108" s="96" t="s">
        <v>270</v>
      </c>
      <c r="B108" s="97" t="s">
        <v>345</v>
      </c>
      <c r="C108" s="73"/>
      <c r="D108" s="64">
        <f>IFERROR('📊 ANUAL MKTPLACES'!I9/4.33,0)</f>
        <v>0</v>
      </c>
      <c r="E108" s="65"/>
      <c r="F108" s="7" t="str">
        <f t="shared" si="24"/>
        <v>-</v>
      </c>
      <c r="G108" s="65"/>
      <c r="H108" s="9" t="str">
        <f t="shared" si="25"/>
        <v>-</v>
      </c>
      <c r="I108" s="66" t="str">
        <f t="shared" si="26"/>
        <v>-</v>
      </c>
      <c r="J108" s="65"/>
      <c r="K108" s="98"/>
      <c r="L108" s="65"/>
      <c r="M108" s="9" t="str">
        <f t="shared" si="27"/>
        <v>-</v>
      </c>
    </row>
    <row r="109" spans="1:13" ht="15.75" customHeight="1" x14ac:dyDescent="0.25">
      <c r="A109" s="99" t="s">
        <v>272</v>
      </c>
      <c r="B109" s="100" t="s">
        <v>346</v>
      </c>
      <c r="C109" s="73"/>
      <c r="D109" s="64">
        <f>IFERROR('📊 ANUAL MKTPLACES'!I9/4.33,0)</f>
        <v>0</v>
      </c>
      <c r="E109" s="65"/>
      <c r="F109" s="101" t="str">
        <f t="shared" si="24"/>
        <v>-</v>
      </c>
      <c r="G109" s="65"/>
      <c r="H109" s="79" t="str">
        <f t="shared" si="25"/>
        <v>-</v>
      </c>
      <c r="I109" s="80" t="str">
        <f t="shared" si="26"/>
        <v>-</v>
      </c>
      <c r="J109" s="65"/>
      <c r="K109" s="98"/>
      <c r="L109" s="65"/>
      <c r="M109" s="79" t="str">
        <f t="shared" si="27"/>
        <v>-</v>
      </c>
    </row>
    <row r="110" spans="1:13" ht="15.75" customHeight="1" x14ac:dyDescent="0.25">
      <c r="A110" s="96" t="s">
        <v>274</v>
      </c>
      <c r="B110" s="97" t="s">
        <v>347</v>
      </c>
      <c r="C110" s="73"/>
      <c r="D110" s="64">
        <f>IFERROR('📊 ANUAL MKTPLACES'!I9/4.33,0)</f>
        <v>0</v>
      </c>
      <c r="E110" s="65"/>
      <c r="F110" s="7" t="str">
        <f t="shared" si="24"/>
        <v>-</v>
      </c>
      <c r="G110" s="65"/>
      <c r="H110" s="9" t="str">
        <f t="shared" si="25"/>
        <v>-</v>
      </c>
      <c r="I110" s="66" t="str">
        <f t="shared" si="26"/>
        <v>-</v>
      </c>
      <c r="J110" s="65"/>
      <c r="K110" s="98"/>
      <c r="L110" s="65"/>
      <c r="M110" s="9" t="str">
        <f t="shared" si="27"/>
        <v>-</v>
      </c>
    </row>
    <row r="111" spans="1:13" ht="15.75" customHeight="1" x14ac:dyDescent="0.25">
      <c r="A111" s="99" t="s">
        <v>276</v>
      </c>
      <c r="B111" s="100" t="s">
        <v>348</v>
      </c>
      <c r="C111" s="73"/>
      <c r="D111" s="64">
        <f>IFERROR('📊 ANUAL MKTPLACES'!I9/4.33,0)</f>
        <v>0</v>
      </c>
      <c r="E111" s="65"/>
      <c r="F111" s="101" t="str">
        <f t="shared" si="24"/>
        <v>-</v>
      </c>
      <c r="G111" s="65"/>
      <c r="H111" s="79" t="str">
        <f t="shared" si="25"/>
        <v>-</v>
      </c>
      <c r="I111" s="80" t="str">
        <f t="shared" si="26"/>
        <v>-</v>
      </c>
      <c r="J111" s="65"/>
      <c r="K111" s="98"/>
      <c r="L111" s="65"/>
      <c r="M111" s="79" t="str">
        <f t="shared" si="27"/>
        <v>-</v>
      </c>
    </row>
    <row r="112" spans="1:13" ht="15.75" customHeight="1" x14ac:dyDescent="0.25">
      <c r="A112" s="96" t="s">
        <v>278</v>
      </c>
      <c r="B112" s="97" t="s">
        <v>349</v>
      </c>
      <c r="C112" s="73"/>
      <c r="D112" s="64">
        <f>IFERROR('📊 ANUAL MKTPLACES'!J9/4.33,0)</f>
        <v>0</v>
      </c>
      <c r="E112" s="65"/>
      <c r="F112" s="7" t="str">
        <f t="shared" si="24"/>
        <v>-</v>
      </c>
      <c r="G112" s="65"/>
      <c r="H112" s="9" t="str">
        <f t="shared" si="25"/>
        <v>-</v>
      </c>
      <c r="I112" s="66" t="str">
        <f t="shared" si="26"/>
        <v>-</v>
      </c>
      <c r="J112" s="65"/>
      <c r="K112" s="98"/>
      <c r="L112" s="65"/>
      <c r="M112" s="9" t="str">
        <f t="shared" si="27"/>
        <v>-</v>
      </c>
    </row>
    <row r="113" spans="1:13" ht="15.75" customHeight="1" x14ac:dyDescent="0.25">
      <c r="A113" s="99" t="s">
        <v>280</v>
      </c>
      <c r="B113" s="100" t="s">
        <v>350</v>
      </c>
      <c r="C113" s="73"/>
      <c r="D113" s="64">
        <f>IFERROR('📊 ANUAL MKTPLACES'!J9/4.33,0)</f>
        <v>0</v>
      </c>
      <c r="E113" s="65"/>
      <c r="F113" s="101" t="str">
        <f t="shared" si="24"/>
        <v>-</v>
      </c>
      <c r="G113" s="65"/>
      <c r="H113" s="79" t="str">
        <f t="shared" si="25"/>
        <v>-</v>
      </c>
      <c r="I113" s="80" t="str">
        <f t="shared" si="26"/>
        <v>-</v>
      </c>
      <c r="J113" s="65"/>
      <c r="K113" s="98"/>
      <c r="L113" s="65"/>
      <c r="M113" s="79" t="str">
        <f t="shared" si="27"/>
        <v>-</v>
      </c>
    </row>
    <row r="114" spans="1:13" ht="15.75" customHeight="1" x14ac:dyDescent="0.25">
      <c r="A114" s="96" t="s">
        <v>282</v>
      </c>
      <c r="B114" s="97" t="s">
        <v>351</v>
      </c>
      <c r="C114" s="73"/>
      <c r="D114" s="64">
        <f>IFERROR('📊 ANUAL MKTPLACES'!J9/4.33,0)</f>
        <v>0</v>
      </c>
      <c r="E114" s="65"/>
      <c r="F114" s="7" t="str">
        <f t="shared" si="24"/>
        <v>-</v>
      </c>
      <c r="G114" s="65"/>
      <c r="H114" s="9" t="str">
        <f t="shared" si="25"/>
        <v>-</v>
      </c>
      <c r="I114" s="66" t="str">
        <f t="shared" si="26"/>
        <v>-</v>
      </c>
      <c r="J114" s="65"/>
      <c r="K114" s="98"/>
      <c r="L114" s="65"/>
      <c r="M114" s="9" t="str">
        <f t="shared" si="27"/>
        <v>-</v>
      </c>
    </row>
    <row r="115" spans="1:13" ht="15.75" customHeight="1" x14ac:dyDescent="0.25">
      <c r="A115" s="99" t="s">
        <v>284</v>
      </c>
      <c r="B115" s="100" t="s">
        <v>352</v>
      </c>
      <c r="C115" s="73"/>
      <c r="D115" s="64">
        <f>IFERROR('📊 ANUAL MKTPLACES'!J9/4.33,0)</f>
        <v>0</v>
      </c>
      <c r="E115" s="65"/>
      <c r="F115" s="101" t="str">
        <f t="shared" si="24"/>
        <v>-</v>
      </c>
      <c r="G115" s="65"/>
      <c r="H115" s="79" t="str">
        <f t="shared" si="25"/>
        <v>-</v>
      </c>
      <c r="I115" s="80" t="str">
        <f t="shared" si="26"/>
        <v>-</v>
      </c>
      <c r="J115" s="65"/>
      <c r="K115" s="98"/>
      <c r="L115" s="65"/>
      <c r="M115" s="79" t="str">
        <f t="shared" si="27"/>
        <v>-</v>
      </c>
    </row>
    <row r="116" spans="1:13" ht="21.75" customHeight="1" x14ac:dyDescent="0.25">
      <c r="A116" s="126" t="s">
        <v>286</v>
      </c>
      <c r="B116" s="126"/>
      <c r="D116" s="86">
        <f>IFERROR(SUM(D104:D115),"-")</f>
        <v>0</v>
      </c>
      <c r="E116" s="86">
        <f>IFERROR(SUM(E104:E115),"-")</f>
        <v>0</v>
      </c>
      <c r="F116" s="102" t="str">
        <f t="shared" si="24"/>
        <v>-</v>
      </c>
      <c r="G116" s="86">
        <f>IFERROR(SUM(G104:G115),"-")</f>
        <v>0</v>
      </c>
      <c r="H116" s="88" t="str">
        <f t="shared" si="25"/>
        <v>-</v>
      </c>
      <c r="I116" s="89" t="str">
        <f t="shared" si="26"/>
        <v>-</v>
      </c>
      <c r="J116" s="86">
        <f>IFERROR(SUM(J104:J115),"-")</f>
        <v>0</v>
      </c>
      <c r="K116" s="87" t="str">
        <f>IFERROR(E116/J116,"-")</f>
        <v>-</v>
      </c>
      <c r="L116" s="86">
        <f>IFERROR(SUM(L104:L115),"-")</f>
        <v>0</v>
      </c>
      <c r="M116" s="88" t="str">
        <f t="shared" si="27"/>
        <v>-</v>
      </c>
    </row>
    <row r="118" spans="1:13" ht="19.5" customHeight="1" x14ac:dyDescent="0.25">
      <c r="A118" s="123" t="s">
        <v>353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</row>
    <row r="119" spans="1:13" ht="18" customHeight="1" x14ac:dyDescent="0.25">
      <c r="A119" s="1" t="s">
        <v>205</v>
      </c>
      <c r="B119" s="1" t="s">
        <v>206</v>
      </c>
      <c r="C119" s="1" t="s">
        <v>207</v>
      </c>
      <c r="D119" s="1" t="s">
        <v>208</v>
      </c>
      <c r="E119" s="1" t="s">
        <v>209</v>
      </c>
      <c r="F119" s="1" t="s">
        <v>21</v>
      </c>
      <c r="G119" s="1" t="s">
        <v>182</v>
      </c>
      <c r="H119" s="1" t="s">
        <v>23</v>
      </c>
      <c r="I119" s="1" t="s">
        <v>164</v>
      </c>
      <c r="J119" s="1" t="s">
        <v>178</v>
      </c>
      <c r="K119" s="1" t="s">
        <v>179</v>
      </c>
      <c r="L119" s="1" t="s">
        <v>180</v>
      </c>
      <c r="M119" s="1" t="s">
        <v>181</v>
      </c>
    </row>
    <row r="120" spans="1:13" ht="15.75" customHeight="1" x14ac:dyDescent="0.25">
      <c r="A120" s="99" t="s">
        <v>288</v>
      </c>
      <c r="B120" s="100" t="s">
        <v>354</v>
      </c>
      <c r="C120" s="73"/>
      <c r="D120" s="64">
        <f>IFERROR('📊 ANUAL MKTPLACES'!K9/4.33,0)</f>
        <v>0</v>
      </c>
      <c r="E120" s="65"/>
      <c r="F120" s="101" t="str">
        <f t="shared" ref="F120:F133" si="28">IFERROR(E120/D120,"-")</f>
        <v>-</v>
      </c>
      <c r="G120" s="65"/>
      <c r="H120" s="79" t="str">
        <f t="shared" ref="H120:H133" si="29">IFERROR(G120/E120,"-")</f>
        <v>-</v>
      </c>
      <c r="I120" s="80" t="str">
        <f t="shared" ref="I120:I133" si="30">IFERROR(E120/G120,"-")</f>
        <v>-</v>
      </c>
      <c r="J120" s="65"/>
      <c r="K120" s="98"/>
      <c r="L120" s="65"/>
      <c r="M120" s="79" t="str">
        <f t="shared" ref="M120:M133" si="31">IFERROR(J120/L120,"-")</f>
        <v>-</v>
      </c>
    </row>
    <row r="121" spans="1:13" ht="15.75" customHeight="1" x14ac:dyDescent="0.25">
      <c r="A121" s="96" t="s">
        <v>290</v>
      </c>
      <c r="B121" s="97" t="s">
        <v>355</v>
      </c>
      <c r="C121" s="73"/>
      <c r="D121" s="64">
        <f>IFERROR('📊 ANUAL MKTPLACES'!K9/4.33,0)</f>
        <v>0</v>
      </c>
      <c r="E121" s="65"/>
      <c r="F121" s="7" t="str">
        <f t="shared" si="28"/>
        <v>-</v>
      </c>
      <c r="G121" s="65"/>
      <c r="H121" s="9" t="str">
        <f t="shared" si="29"/>
        <v>-</v>
      </c>
      <c r="I121" s="66" t="str">
        <f t="shared" si="30"/>
        <v>-</v>
      </c>
      <c r="J121" s="65"/>
      <c r="K121" s="98"/>
      <c r="L121" s="65"/>
      <c r="M121" s="9" t="str">
        <f t="shared" si="31"/>
        <v>-</v>
      </c>
    </row>
    <row r="122" spans="1:13" ht="15.75" customHeight="1" x14ac:dyDescent="0.25">
      <c r="A122" s="99" t="s">
        <v>292</v>
      </c>
      <c r="B122" s="100" t="s">
        <v>356</v>
      </c>
      <c r="C122" s="73"/>
      <c r="D122" s="64">
        <f>IFERROR('📊 ANUAL MKTPLACES'!K9/4.33,0)</f>
        <v>0</v>
      </c>
      <c r="E122" s="65"/>
      <c r="F122" s="101" t="str">
        <f t="shared" si="28"/>
        <v>-</v>
      </c>
      <c r="G122" s="65"/>
      <c r="H122" s="79" t="str">
        <f t="shared" si="29"/>
        <v>-</v>
      </c>
      <c r="I122" s="80" t="str">
        <f t="shared" si="30"/>
        <v>-</v>
      </c>
      <c r="J122" s="65"/>
      <c r="K122" s="98"/>
      <c r="L122" s="65"/>
      <c r="M122" s="79" t="str">
        <f t="shared" si="31"/>
        <v>-</v>
      </c>
    </row>
    <row r="123" spans="1:13" ht="15.75" customHeight="1" x14ac:dyDescent="0.25">
      <c r="A123" s="96" t="s">
        <v>294</v>
      </c>
      <c r="B123" s="97" t="s">
        <v>357</v>
      </c>
      <c r="C123" s="73"/>
      <c r="D123" s="64">
        <f>IFERROR('📊 ANUAL MKTPLACES'!K9/4.33,0)</f>
        <v>0</v>
      </c>
      <c r="E123" s="65"/>
      <c r="F123" s="7" t="str">
        <f t="shared" si="28"/>
        <v>-</v>
      </c>
      <c r="G123" s="65"/>
      <c r="H123" s="9" t="str">
        <f t="shared" si="29"/>
        <v>-</v>
      </c>
      <c r="I123" s="66" t="str">
        <f t="shared" si="30"/>
        <v>-</v>
      </c>
      <c r="J123" s="65"/>
      <c r="K123" s="98"/>
      <c r="L123" s="65"/>
      <c r="M123" s="9" t="str">
        <f t="shared" si="31"/>
        <v>-</v>
      </c>
    </row>
    <row r="124" spans="1:13" ht="15.75" customHeight="1" x14ac:dyDescent="0.25">
      <c r="A124" s="99" t="s">
        <v>296</v>
      </c>
      <c r="B124" s="100" t="s">
        <v>358</v>
      </c>
      <c r="C124" s="73"/>
      <c r="D124" s="64">
        <f>IFERROR('📊 ANUAL MKTPLACES'!L9/4.33,0)</f>
        <v>0</v>
      </c>
      <c r="E124" s="65"/>
      <c r="F124" s="101" t="str">
        <f t="shared" si="28"/>
        <v>-</v>
      </c>
      <c r="G124" s="65"/>
      <c r="H124" s="79" t="str">
        <f t="shared" si="29"/>
        <v>-</v>
      </c>
      <c r="I124" s="80" t="str">
        <f t="shared" si="30"/>
        <v>-</v>
      </c>
      <c r="J124" s="65"/>
      <c r="K124" s="98"/>
      <c r="L124" s="65"/>
      <c r="M124" s="79" t="str">
        <f t="shared" si="31"/>
        <v>-</v>
      </c>
    </row>
    <row r="125" spans="1:13" ht="15.75" customHeight="1" x14ac:dyDescent="0.25">
      <c r="A125" s="96" t="s">
        <v>298</v>
      </c>
      <c r="B125" s="97" t="s">
        <v>359</v>
      </c>
      <c r="C125" s="73"/>
      <c r="D125" s="64">
        <f>IFERROR('📊 ANUAL MKTPLACES'!L9/4.33,0)</f>
        <v>0</v>
      </c>
      <c r="E125" s="65"/>
      <c r="F125" s="7" t="str">
        <f t="shared" si="28"/>
        <v>-</v>
      </c>
      <c r="G125" s="65"/>
      <c r="H125" s="9" t="str">
        <f t="shared" si="29"/>
        <v>-</v>
      </c>
      <c r="I125" s="66" t="str">
        <f t="shared" si="30"/>
        <v>-</v>
      </c>
      <c r="J125" s="65"/>
      <c r="K125" s="98"/>
      <c r="L125" s="65"/>
      <c r="M125" s="9" t="str">
        <f t="shared" si="31"/>
        <v>-</v>
      </c>
    </row>
    <row r="126" spans="1:13" ht="15.75" customHeight="1" x14ac:dyDescent="0.25">
      <c r="A126" s="99" t="s">
        <v>300</v>
      </c>
      <c r="B126" s="100" t="s">
        <v>360</v>
      </c>
      <c r="C126" s="73"/>
      <c r="D126" s="64">
        <f>IFERROR('📊 ANUAL MKTPLACES'!L9/4.33,0)</f>
        <v>0</v>
      </c>
      <c r="E126" s="65"/>
      <c r="F126" s="101" t="str">
        <f t="shared" si="28"/>
        <v>-</v>
      </c>
      <c r="G126" s="65"/>
      <c r="H126" s="79" t="str">
        <f t="shared" si="29"/>
        <v>-</v>
      </c>
      <c r="I126" s="80" t="str">
        <f t="shared" si="30"/>
        <v>-</v>
      </c>
      <c r="J126" s="65"/>
      <c r="K126" s="98"/>
      <c r="L126" s="65"/>
      <c r="M126" s="79" t="str">
        <f t="shared" si="31"/>
        <v>-</v>
      </c>
    </row>
    <row r="127" spans="1:13" ht="15.75" customHeight="1" x14ac:dyDescent="0.25">
      <c r="A127" s="96" t="s">
        <v>302</v>
      </c>
      <c r="B127" s="97" t="s">
        <v>361</v>
      </c>
      <c r="C127" s="73"/>
      <c r="D127" s="64">
        <f>IFERROR('📊 ANUAL MKTPLACES'!L9/4.33,0)</f>
        <v>0</v>
      </c>
      <c r="E127" s="65"/>
      <c r="F127" s="7" t="str">
        <f t="shared" si="28"/>
        <v>-</v>
      </c>
      <c r="G127" s="65"/>
      <c r="H127" s="9" t="str">
        <f t="shared" si="29"/>
        <v>-</v>
      </c>
      <c r="I127" s="66" t="str">
        <f t="shared" si="30"/>
        <v>-</v>
      </c>
      <c r="J127" s="65"/>
      <c r="K127" s="98"/>
      <c r="L127" s="65"/>
      <c r="M127" s="9" t="str">
        <f t="shared" si="31"/>
        <v>-</v>
      </c>
    </row>
    <row r="128" spans="1:13" ht="15.75" customHeight="1" x14ac:dyDescent="0.25">
      <c r="A128" s="99" t="s">
        <v>304</v>
      </c>
      <c r="B128" s="100" t="s">
        <v>362</v>
      </c>
      <c r="C128" s="73"/>
      <c r="D128" s="64">
        <f>IFERROR('📊 ANUAL MKTPLACES'!M9/4.33,0)</f>
        <v>0</v>
      </c>
      <c r="E128" s="65"/>
      <c r="F128" s="101" t="str">
        <f t="shared" si="28"/>
        <v>-</v>
      </c>
      <c r="G128" s="65"/>
      <c r="H128" s="79" t="str">
        <f t="shared" si="29"/>
        <v>-</v>
      </c>
      <c r="I128" s="80" t="str">
        <f t="shared" si="30"/>
        <v>-</v>
      </c>
      <c r="J128" s="65"/>
      <c r="K128" s="98"/>
      <c r="L128" s="65"/>
      <c r="M128" s="79" t="str">
        <f t="shared" si="31"/>
        <v>-</v>
      </c>
    </row>
    <row r="129" spans="1:13" ht="15.75" customHeight="1" x14ac:dyDescent="0.25">
      <c r="A129" s="96" t="s">
        <v>306</v>
      </c>
      <c r="B129" s="97" t="s">
        <v>363</v>
      </c>
      <c r="C129" s="73"/>
      <c r="D129" s="64">
        <f>IFERROR('📊 ANUAL MKTPLACES'!M9/4.33,0)</f>
        <v>0</v>
      </c>
      <c r="E129" s="65"/>
      <c r="F129" s="7" t="str">
        <f t="shared" si="28"/>
        <v>-</v>
      </c>
      <c r="G129" s="65"/>
      <c r="H129" s="9" t="str">
        <f t="shared" si="29"/>
        <v>-</v>
      </c>
      <c r="I129" s="66" t="str">
        <f t="shared" si="30"/>
        <v>-</v>
      </c>
      <c r="J129" s="65"/>
      <c r="K129" s="98"/>
      <c r="L129" s="65"/>
      <c r="M129" s="9" t="str">
        <f t="shared" si="31"/>
        <v>-</v>
      </c>
    </row>
    <row r="130" spans="1:13" ht="15.75" customHeight="1" x14ac:dyDescent="0.25">
      <c r="A130" s="99" t="s">
        <v>308</v>
      </c>
      <c r="B130" s="100" t="s">
        <v>364</v>
      </c>
      <c r="C130" s="73"/>
      <c r="D130" s="64">
        <f>IFERROR('📊 ANUAL MKTPLACES'!M9/4.33,0)</f>
        <v>0</v>
      </c>
      <c r="E130" s="65"/>
      <c r="F130" s="101" t="str">
        <f t="shared" si="28"/>
        <v>-</v>
      </c>
      <c r="G130" s="65"/>
      <c r="H130" s="79" t="str">
        <f t="shared" si="29"/>
        <v>-</v>
      </c>
      <c r="I130" s="80" t="str">
        <f t="shared" si="30"/>
        <v>-</v>
      </c>
      <c r="J130" s="65"/>
      <c r="K130" s="98"/>
      <c r="L130" s="65"/>
      <c r="M130" s="79" t="str">
        <f t="shared" si="31"/>
        <v>-</v>
      </c>
    </row>
    <row r="131" spans="1:13" ht="15.75" customHeight="1" x14ac:dyDescent="0.25">
      <c r="A131" s="96" t="s">
        <v>310</v>
      </c>
      <c r="B131" s="97" t="s">
        <v>365</v>
      </c>
      <c r="C131" s="73"/>
      <c r="D131" s="64">
        <f>IFERROR('📊 ANUAL MKTPLACES'!M9/4.33,0)</f>
        <v>0</v>
      </c>
      <c r="E131" s="65"/>
      <c r="F131" s="7" t="str">
        <f t="shared" si="28"/>
        <v>-</v>
      </c>
      <c r="G131" s="65"/>
      <c r="H131" s="9" t="str">
        <f t="shared" si="29"/>
        <v>-</v>
      </c>
      <c r="I131" s="66" t="str">
        <f t="shared" si="30"/>
        <v>-</v>
      </c>
      <c r="J131" s="65"/>
      <c r="K131" s="98"/>
      <c r="L131" s="65"/>
      <c r="M131" s="9" t="str">
        <f t="shared" si="31"/>
        <v>-</v>
      </c>
    </row>
    <row r="132" spans="1:13" ht="15.75" customHeight="1" x14ac:dyDescent="0.25">
      <c r="A132" s="99" t="s">
        <v>366</v>
      </c>
      <c r="B132" s="100" t="s">
        <v>367</v>
      </c>
      <c r="C132" s="73"/>
      <c r="D132" s="64">
        <f>IFERROR('📊 ANUAL MKTPLACES'!M9/4.33,0)</f>
        <v>0</v>
      </c>
      <c r="E132" s="65"/>
      <c r="F132" s="101" t="str">
        <f t="shared" si="28"/>
        <v>-</v>
      </c>
      <c r="G132" s="65"/>
      <c r="H132" s="79" t="str">
        <f t="shared" si="29"/>
        <v>-</v>
      </c>
      <c r="I132" s="80" t="str">
        <f t="shared" si="30"/>
        <v>-</v>
      </c>
      <c r="J132" s="65"/>
      <c r="K132" s="98"/>
      <c r="L132" s="65"/>
      <c r="M132" s="79" t="str">
        <f t="shared" si="31"/>
        <v>-</v>
      </c>
    </row>
    <row r="133" spans="1:13" ht="21.75" customHeight="1" x14ac:dyDescent="0.25">
      <c r="A133" s="126" t="s">
        <v>312</v>
      </c>
      <c r="B133" s="126"/>
      <c r="D133" s="86">
        <f>IFERROR(SUM(D120:D132),"-")</f>
        <v>0</v>
      </c>
      <c r="E133" s="86">
        <f>IFERROR(SUM(E120:E132),"-")</f>
        <v>0</v>
      </c>
      <c r="F133" s="102" t="str">
        <f t="shared" si="28"/>
        <v>-</v>
      </c>
      <c r="G133" s="86">
        <f>IFERROR(SUM(G120:G132),"-")</f>
        <v>0</v>
      </c>
      <c r="H133" s="88" t="str">
        <f t="shared" si="29"/>
        <v>-</v>
      </c>
      <c r="I133" s="89" t="str">
        <f t="shared" si="30"/>
        <v>-</v>
      </c>
      <c r="J133" s="86">
        <f>IFERROR(SUM(J120:J132),"-")</f>
        <v>0</v>
      </c>
      <c r="K133" s="87" t="str">
        <f>IFERROR(E133/J133,"-")</f>
        <v>-</v>
      </c>
      <c r="L133" s="86">
        <f>IFERROR(SUM(L120:L132),"-")</f>
        <v>0</v>
      </c>
      <c r="M133" s="88" t="str">
        <f t="shared" si="31"/>
        <v>-</v>
      </c>
    </row>
  </sheetData>
  <mergeCells count="20">
    <mergeCell ref="A1:M1"/>
    <mergeCell ref="A2:M2"/>
    <mergeCell ref="A3:M3"/>
    <mergeCell ref="A4:M4"/>
    <mergeCell ref="A18:B18"/>
    <mergeCell ref="A20:M20"/>
    <mergeCell ref="A34:B34"/>
    <mergeCell ref="A36:M36"/>
    <mergeCell ref="A50:B50"/>
    <mergeCell ref="A52:M52"/>
    <mergeCell ref="A66:B66"/>
    <mergeCell ref="A69:M69"/>
    <mergeCell ref="A70:M70"/>
    <mergeCell ref="A84:B84"/>
    <mergeCell ref="A86:M86"/>
    <mergeCell ref="A100:B100"/>
    <mergeCell ref="A102:M102"/>
    <mergeCell ref="A116:B116"/>
    <mergeCell ref="A118:M118"/>
    <mergeCell ref="A133:B1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🏠 PAINEL</vt:lpstr>
      <vt:lpstr>📋 PLANO ESTRATÉGICO</vt:lpstr>
      <vt:lpstr>📅 TÁTICO SAZONAL</vt:lpstr>
      <vt:lpstr>📊 ANUAL MKTPLACES</vt:lpstr>
      <vt:lpstr>🛒 CANAIS</vt:lpstr>
      <vt:lpstr>📆 Q2 DIÁRIO</vt:lpstr>
      <vt:lpstr>📈 SEMANAL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Eduardo Luiz Lourenço</cp:lastModifiedBy>
  <cp:revision>0</cp:revision>
  <dcterms:created xsi:type="dcterms:W3CDTF">2026-03-21T12:32:00Z</dcterms:created>
  <dcterms:modified xsi:type="dcterms:W3CDTF">2026-03-29T21:13:36Z</dcterms:modified>
  <cp:category/>
  <cp:contentStatus/>
</cp:coreProperties>
</file>